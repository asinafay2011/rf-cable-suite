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Users 1763\Chad Corapi\MI Updates\IN PROGRESS\"/>
    </mc:Choice>
  </mc:AlternateContent>
  <xr:revisionPtr revIDLastSave="0" documentId="13_ncr:1_{C0A383F3-0EA3-4C36-9F5A-0794D854FBFE}" xr6:coauthVersionLast="47" xr6:coauthVersionMax="47" xr10:uidLastSave="{00000000-0000-0000-0000-000000000000}"/>
  <bookViews>
    <workbookView xWindow="-120" yWindow="-120" windowWidth="29040" windowHeight="17640" tabRatio="917" activeTab="1" xr2:uid="{7653402C-729B-46A1-8E22-2D1A41AEBEF9}"/>
  </bookViews>
  <sheets>
    <sheet name="Cover Sheet" sheetId="52" r:id="rId1"/>
    <sheet name="Taping (3-Bay)" sheetId="64" r:id="rId2"/>
    <sheet name="Taping (3-Bay) (2)" sheetId="65" r:id="rId3"/>
    <sheet name="Tape Conditioning" sheetId="66" r:id="rId4"/>
    <sheet name="Spiral Shield" sheetId="53" r:id="rId5"/>
    <sheet name="SI Testing (Post-Spiral)" sheetId="61" r:id="rId6"/>
    <sheet name="Braiding" sheetId="54" r:id="rId7"/>
    <sheet name="SI Testing (Post-Braid)" sheetId="55" r:id="rId8"/>
    <sheet name="Mixing" sheetId="57" r:id="rId9"/>
    <sheet name="Extrusion (Graham)" sheetId="63" r:id="rId10"/>
    <sheet name="SI Testing (Post-Jacket)" sheetId="56" r:id="rId11"/>
    <sheet name="Respooling-Marking RF" sheetId="58" r:id="rId12"/>
    <sheet name="Packaging" sheetId="62" r:id="rId13"/>
  </sheets>
  <externalReferences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63" l="1"/>
  <c r="F12" i="63"/>
  <c r="D12" i="63"/>
  <c r="E10" i="53" l="1"/>
  <c r="F10" i="53"/>
  <c r="D10" i="53"/>
  <c r="J2" i="65"/>
  <c r="I2" i="65"/>
  <c r="J2" i="64"/>
  <c r="I2" i="64"/>
  <c r="J2" i="66"/>
  <c r="I2" i="66"/>
  <c r="K2" i="66"/>
  <c r="E10" i="65"/>
  <c r="F10" i="65"/>
  <c r="D10" i="65"/>
  <c r="D8" i="63" l="1"/>
  <c r="C8" i="63"/>
  <c r="D7" i="63"/>
  <c r="C7" i="63"/>
  <c r="D6" i="63"/>
  <c r="C6" i="63"/>
  <c r="K2" i="63"/>
  <c r="J2" i="63"/>
  <c r="E12" i="54"/>
  <c r="F12" i="54"/>
  <c r="D12" i="54"/>
  <c r="J2" i="62"/>
  <c r="I2" i="62"/>
  <c r="K2" i="62"/>
  <c r="J2" i="61"/>
  <c r="I2" i="61"/>
  <c r="J2" i="58" l="1"/>
  <c r="K2" i="58"/>
  <c r="L2" i="58"/>
  <c r="J2" i="56"/>
  <c r="I2" i="56"/>
  <c r="I2" i="57"/>
  <c r="H2" i="57"/>
  <c r="J2" i="55"/>
  <c r="I2" i="55"/>
  <c r="J2" i="54"/>
  <c r="I2" i="54"/>
  <c r="J2" i="53"/>
  <c r="I2" i="53"/>
  <c r="K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B14" authorId="0" shapeId="0" xr:uid="{9A214920-4038-44A3-8846-82CD5D635A5C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If dancer is used, pay-off torque set point &amp; pay-off pull set point are N/A. 
If dancer is not used, all dancer settings are N/A.</t>
        </r>
      </text>
    </comment>
    <comment ref="B24" authorId="0" shapeId="0" xr:uid="{C55DE718-DA01-4FA9-AD18-6FFFE12B88E8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>Aluminized Polyimide</t>
        </r>
        <r>
          <rPr>
            <sz val="9"/>
            <color indexed="81"/>
            <rFont val="Tahoma"/>
            <family val="2"/>
          </rPr>
          <t>: 5-15 N</t>
        </r>
      </text>
    </comment>
    <comment ref="B32" authorId="0" shapeId="0" xr:uid="{BF5BF9D0-A243-42D6-8CFB-5F63104E03EB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>Aluminized Polyimide</t>
        </r>
        <r>
          <rPr>
            <sz val="9"/>
            <color indexed="81"/>
            <rFont val="Tahoma"/>
            <family val="2"/>
          </rPr>
          <t>: 5-15 N</t>
        </r>
      </text>
    </comment>
    <comment ref="B40" authorId="0" shapeId="0" xr:uid="{B0CA8642-683B-46EB-9221-C8B63AC7721A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 xml:space="preserve">
Aluminized Polyimide</t>
        </r>
        <r>
          <rPr>
            <sz val="9"/>
            <color indexed="81"/>
            <rFont val="Tahoma"/>
            <family val="2"/>
          </rPr>
          <t>: 5-15 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B14" authorId="0" shapeId="0" xr:uid="{931847F5-B324-4C32-A195-0DA11C6D1D39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If dancer is used, pay-off torque set point &amp; pay-off pull set point are N/A. 
If dancer is not used, all dancer settings are N/A.</t>
        </r>
      </text>
    </comment>
    <comment ref="B24" authorId="0" shapeId="0" xr:uid="{8017005F-A04D-4122-A8BA-72B08F178491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>Aluminized Polyimide</t>
        </r>
        <r>
          <rPr>
            <sz val="9"/>
            <color indexed="81"/>
            <rFont val="Tahoma"/>
            <family val="2"/>
          </rPr>
          <t>: 5-15 N</t>
        </r>
      </text>
    </comment>
    <comment ref="B32" authorId="0" shapeId="0" xr:uid="{F44CAEE2-DF56-4123-B4CF-B81B22E368BA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>Aluminized Polyimide</t>
        </r>
        <r>
          <rPr>
            <sz val="9"/>
            <color indexed="81"/>
            <rFont val="Tahoma"/>
            <family val="2"/>
          </rPr>
          <t>: 5-15 N</t>
        </r>
      </text>
    </comment>
    <comment ref="B40" authorId="0" shapeId="0" xr:uid="{84484C18-5464-48F1-A0B6-795ED29E887E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 xml:space="preserve">
Aluminized Polyimide</t>
        </r>
        <r>
          <rPr>
            <sz val="9"/>
            <color indexed="81"/>
            <rFont val="Tahoma"/>
            <family val="2"/>
          </rPr>
          <t>: 5-15 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F10" authorId="0" shapeId="0" xr:uid="{0AA2EFFC-0523-4483-91F6-72FA4275AE4A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Typical range=365-375</t>
        </r>
      </text>
    </comment>
    <comment ref="D11" authorId="0" shapeId="0" xr:uid="{987CE84D-2085-4C0F-A2E6-D1656BE791A9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Typical duration=8 hrs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A17" authorId="0" shapeId="0" xr:uid="{E90A70D7-B789-4FE7-B03B-C05CE58C2430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Typically use 8 carriers. 4 carriers can be used if needed.</t>
        </r>
      </text>
    </comment>
    <comment ref="A26" authorId="0" shapeId="0" xr:uid="{2F58F74C-F6D3-4278-9D60-50D661C97697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High Density PTFE:</t>
        </r>
        <r>
          <rPr>
            <sz val="9"/>
            <color indexed="81"/>
            <rFont val="Tahoma"/>
            <family val="2"/>
          </rPr>
          <t xml:space="preserve">
.002"-.003" thick: 3-4 N
.004" thick: 6-15 N
.006" thick: 10-20 N
</t>
        </r>
        <r>
          <rPr>
            <u/>
            <sz val="9"/>
            <color indexed="81"/>
            <rFont val="Tahoma"/>
            <family val="2"/>
          </rPr>
          <t>Low Density PTFE:</t>
        </r>
        <r>
          <rPr>
            <sz val="9"/>
            <color indexed="81"/>
            <rFont val="Tahoma"/>
            <family val="2"/>
          </rPr>
          <t xml:space="preserve">
.002"-.003" thick: 2-5 N
.005" thick: 10-20 N
.008" thick: 15-25 N
.010" thick: 15-30 N
</t>
        </r>
        <r>
          <rPr>
            <u/>
            <sz val="9"/>
            <color indexed="81"/>
            <rFont val="Tahoma"/>
            <family val="2"/>
          </rPr>
          <t>Aluminized Polyimide</t>
        </r>
        <r>
          <rPr>
            <sz val="9"/>
            <color indexed="81"/>
            <rFont val="Tahoma"/>
            <family val="2"/>
          </rPr>
          <t>: 5-15 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  <author>Antoine Huynh</author>
  </authors>
  <commentList>
    <comment ref="B35" authorId="0" shapeId="0" xr:uid="{4E12AE8C-3588-4955-9628-E8195E35BF08}">
      <text>
        <r>
          <rPr>
            <b/>
            <sz val="9"/>
            <color indexed="81"/>
            <rFont val="Tahoma"/>
            <family val="2"/>
          </rPr>
          <t>Chad Corapi:</t>
        </r>
        <r>
          <rPr>
            <sz val="9"/>
            <color indexed="81"/>
            <rFont val="Tahoma"/>
            <family val="2"/>
          </rPr>
          <t xml:space="preserve">
Only need to measure tension for 26 AWG and smaller primary wires.</t>
        </r>
      </text>
    </comment>
    <comment ref="F46" authorId="1" shapeId="0" xr:uid="{527B7121-A071-43C6-96A3-BB73CAE8BCFB}">
      <text>
        <r>
          <rPr>
            <b/>
            <sz val="9"/>
            <color indexed="81"/>
            <rFont val="Tahoma"/>
            <family val="2"/>
          </rPr>
          <t>For GS27500:</t>
        </r>
        <r>
          <rPr>
            <sz val="9"/>
            <color indexed="81"/>
            <rFont val="Tahoma"/>
            <family val="2"/>
          </rPr>
          <t xml:space="preserve">
23-XLETFE:  5000 psi
14-ETFE:  5000 psi
09-FEP: 3000psi
</t>
        </r>
      </text>
    </comment>
    <comment ref="F47" authorId="1" shapeId="0" xr:uid="{DA9B44DB-C6FF-480C-8DDA-350CA2F44C1C}">
      <text>
        <r>
          <rPr>
            <b/>
            <sz val="9"/>
            <color indexed="81"/>
            <rFont val="Tahoma"/>
            <family val="2"/>
          </rPr>
          <t>For GS27500:</t>
        </r>
        <r>
          <rPr>
            <sz val="9"/>
            <color indexed="81"/>
            <rFont val="Tahoma"/>
            <family val="2"/>
          </rPr>
          <t xml:space="preserve">
23-XLETFE:  5000 psi
14-ETFE:  5000 psi
09-FEP: 3000psi</t>
        </r>
      </text>
    </comment>
    <comment ref="F48" authorId="1" shapeId="0" xr:uid="{3CB16CF7-8138-41CD-8BCC-8B911F188856}">
      <text>
        <r>
          <rPr>
            <b/>
            <sz val="9"/>
            <color indexed="81"/>
            <rFont val="Tahoma"/>
            <family val="2"/>
          </rPr>
          <t>For GS27500:</t>
        </r>
        <r>
          <rPr>
            <sz val="9"/>
            <color indexed="81"/>
            <rFont val="Tahoma"/>
            <family val="2"/>
          </rPr>
          <t xml:space="preserve">
23-XLETFE:  250% min *Drops after crosslinking. Actual requirement is 50% min
14-ETFE:  150% min
09-FEP: 200% min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Antoine Huynh</author>
  </authors>
  <commentList>
    <comment ref="J6" authorId="0" shapeId="0" xr:uid="{A036F850-7CF1-4A49-B369-B23E9FD8B895}">
      <text>
        <r>
          <rPr>
            <b/>
            <sz val="9"/>
            <color indexed="81"/>
            <rFont val="Tahoma"/>
            <family val="2"/>
          </rPr>
          <t>Antoine Huynh:</t>
        </r>
        <r>
          <rPr>
            <sz val="9"/>
            <color indexed="81"/>
            <rFont val="Tahoma"/>
            <family val="2"/>
          </rPr>
          <t xml:space="preserve">
Calculate Max/Ft Spool. 30 Lbs Max</t>
        </r>
      </text>
    </comment>
    <comment ref="C14" authorId="0" shapeId="0" xr:uid="{33890BCD-A7FE-45D7-BDC3-019B775811CB}">
      <text>
        <r>
          <rPr>
            <b/>
            <sz val="9"/>
            <color indexed="81"/>
            <rFont val="Tahoma"/>
            <family val="2"/>
          </rPr>
          <t>Antoine Huynh:</t>
        </r>
        <r>
          <rPr>
            <sz val="9"/>
            <color indexed="81"/>
            <rFont val="Tahoma"/>
            <family val="2"/>
          </rPr>
          <t xml:space="preserve">
Write "N/A" if marking not required.</t>
        </r>
      </text>
    </comment>
    <comment ref="C15" authorId="0" shapeId="0" xr:uid="{FB8AA08D-DCC0-4565-8B88-1656FD41537D}">
      <text>
        <r>
          <rPr>
            <b/>
            <sz val="9"/>
            <color indexed="81"/>
            <rFont val="Tahoma"/>
            <family val="2"/>
          </rPr>
          <t>Antoine Huynh:</t>
        </r>
        <r>
          <rPr>
            <sz val="9"/>
            <color indexed="81"/>
            <rFont val="Tahoma"/>
            <family val="2"/>
          </rPr>
          <t xml:space="preserve">
Write "N/A" if marking not required.</t>
        </r>
      </text>
    </comment>
  </commentList>
</comments>
</file>

<file path=xl/sharedStrings.xml><?xml version="1.0" encoding="utf-8"?>
<sst xmlns="http://schemas.openxmlformats.org/spreadsheetml/2006/main" count="635" uniqueCount="256">
  <si>
    <t>Process Step</t>
  </si>
  <si>
    <t>Machine ID</t>
  </si>
  <si>
    <t>By</t>
  </si>
  <si>
    <t>Date</t>
  </si>
  <si>
    <t>Part Number</t>
  </si>
  <si>
    <t>Total Footage:</t>
  </si>
  <si>
    <t>Min.</t>
  </si>
  <si>
    <t>Nom.</t>
  </si>
  <si>
    <t>Max.</t>
  </si>
  <si>
    <t>Actual</t>
  </si>
  <si>
    <t>Oper.</t>
  </si>
  <si>
    <t>Notes:</t>
  </si>
  <si>
    <t>Description</t>
  </si>
  <si>
    <t>N/A</t>
  </si>
  <si>
    <t>VNA #1</t>
  </si>
  <si>
    <t>ETH</t>
  </si>
  <si>
    <t>Caterpillar Gap</t>
  </si>
  <si>
    <t>Packaging</t>
  </si>
  <si>
    <t>Operation #</t>
  </si>
  <si>
    <t xml:space="preserve"> Materials</t>
  </si>
  <si>
    <t>Braiding</t>
  </si>
  <si>
    <t>Number of Carriers</t>
  </si>
  <si>
    <t>Ends Per Carrier</t>
  </si>
  <si>
    <t>Braid Material</t>
  </si>
  <si>
    <t>Record "Pass/Fail" test result below.</t>
  </si>
  <si>
    <r>
      <t xml:space="preserve">Braid Coverage </t>
    </r>
    <r>
      <rPr>
        <i/>
        <sz val="12"/>
        <color theme="1"/>
        <rFont val="Arial"/>
        <family val="2"/>
      </rPr>
      <t>(%)</t>
    </r>
  </si>
  <si>
    <r>
      <t>Braid Angle</t>
    </r>
    <r>
      <rPr>
        <i/>
        <sz val="12"/>
        <color theme="1"/>
        <rFont val="Arial"/>
        <family val="2"/>
      </rPr>
      <t xml:space="preserve"> (°)</t>
    </r>
  </si>
  <si>
    <t>SI Testing (Post-Braid)</t>
  </si>
  <si>
    <t>Z-DIRECTION</t>
  </si>
  <si>
    <r>
      <t>Die Size</t>
    </r>
    <r>
      <rPr>
        <i/>
        <sz val="12"/>
        <color theme="1"/>
        <rFont val="Arial"/>
        <family val="2"/>
      </rPr>
      <t xml:space="preserve"> (Inch)</t>
    </r>
  </si>
  <si>
    <t>Braider RPM Setting</t>
  </si>
  <si>
    <t>Picks Per Inch</t>
  </si>
  <si>
    <t>OFF</t>
  </si>
  <si>
    <t>Minimum Variable Picks</t>
  </si>
  <si>
    <t>Maximum Variable Picks</t>
  </si>
  <si>
    <t>MANUFACTURING INSTRUCTIONS</t>
  </si>
  <si>
    <t>Order of Operations</t>
  </si>
  <si>
    <t>DESCRIPTION</t>
  </si>
  <si>
    <t>OP. #</t>
  </si>
  <si>
    <t>DATE</t>
  </si>
  <si>
    <t>Take-Up Traverse Setting</t>
  </si>
  <si>
    <t>Take-Up Tension Setting</t>
  </si>
  <si>
    <r>
      <t xml:space="preserve">Outgoing OD </t>
    </r>
    <r>
      <rPr>
        <i/>
        <sz val="12"/>
        <color theme="1"/>
        <rFont val="Arial"/>
        <family val="2"/>
      </rPr>
      <t>(Inch)</t>
    </r>
  </si>
  <si>
    <t xml:space="preserve">Take-Up Spool </t>
  </si>
  <si>
    <t>1/2 WRAP</t>
  </si>
  <si>
    <t>Take-Up Spool</t>
  </si>
  <si>
    <t>Mixing</t>
  </si>
  <si>
    <t>Ratio</t>
  </si>
  <si>
    <t>Item #1</t>
  </si>
  <si>
    <t>Item #2</t>
  </si>
  <si>
    <t>Item #3</t>
  </si>
  <si>
    <t>Batch #</t>
  </si>
  <si>
    <r>
      <t xml:space="preserve">Item #1 </t>
    </r>
    <r>
      <rPr>
        <b/>
        <i/>
        <u/>
        <sz val="16"/>
        <color theme="1"/>
        <rFont val="Arial"/>
        <family val="2"/>
      </rPr>
      <t>(lbs)</t>
    </r>
  </si>
  <si>
    <r>
      <t xml:space="preserve">Item #2 </t>
    </r>
    <r>
      <rPr>
        <b/>
        <i/>
        <u/>
        <sz val="16"/>
        <color theme="1"/>
        <rFont val="Arial"/>
        <family val="2"/>
      </rPr>
      <t>(lbs)</t>
    </r>
  </si>
  <si>
    <r>
      <t xml:space="preserve">Item #3 </t>
    </r>
    <r>
      <rPr>
        <b/>
        <i/>
        <u/>
        <sz val="16"/>
        <color theme="1"/>
        <rFont val="Arial"/>
        <family val="2"/>
      </rPr>
      <t>(lbs)</t>
    </r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</si>
  <si>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</si>
  <si>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</si>
  <si>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</si>
  <si>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</si>
  <si>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</si>
  <si>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</si>
  <si>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</si>
  <si>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</si>
  <si>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</si>
  <si>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</si>
  <si>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Extrusion</t>
  </si>
  <si>
    <t>Base</t>
  </si>
  <si>
    <t>Tip</t>
  </si>
  <si>
    <t>Die</t>
  </si>
  <si>
    <t>Screw</t>
  </si>
  <si>
    <t>Screw RPM</t>
  </si>
  <si>
    <t>Respooler #1</t>
  </si>
  <si>
    <r>
      <t xml:space="preserve">Line Speed </t>
    </r>
    <r>
      <rPr>
        <i/>
        <sz val="11"/>
        <color theme="1"/>
        <rFont val="Arial"/>
        <family val="2"/>
      </rPr>
      <t>(ft/min)</t>
    </r>
  </si>
  <si>
    <t>UV Laser Marking</t>
  </si>
  <si>
    <t>Print Legend</t>
  </si>
  <si>
    <t>SI Testing (Post-Jacket)</t>
  </si>
  <si>
    <t>OPERATOR</t>
  </si>
  <si>
    <t>ISSUE MATERIALS PER BOM</t>
  </si>
  <si>
    <t>BRAID CABLE</t>
  </si>
  <si>
    <t>MIX COMPOUNDS</t>
  </si>
  <si>
    <t>EXTRUDE CABLE</t>
  </si>
  <si>
    <t>MARK &amp; RESPOOL CABLE</t>
  </si>
  <si>
    <t>PACKAGE CABLE</t>
  </si>
  <si>
    <t>PERFORM FINAL INSPECTION</t>
  </si>
  <si>
    <t>SCAN COMPLETED JOB PACKAGE AND ROUTE TO ENGINEERING</t>
  </si>
  <si>
    <t>PERFORM SIGNAL INTEGRITY TEST</t>
  </si>
  <si>
    <t>Spiral Shield</t>
  </si>
  <si>
    <t>WTM 2-Bay</t>
  </si>
  <si>
    <t>REFERENCE AP96-008</t>
  </si>
  <si>
    <t>Estimated Footage</t>
  </si>
  <si>
    <r>
      <t>Flat Wire</t>
    </r>
    <r>
      <rPr>
        <sz val="16"/>
        <color rgb="FF000000"/>
        <rFont val="Arial"/>
        <family val="2"/>
      </rPr>
      <t xml:space="preserve"> </t>
    </r>
  </si>
  <si>
    <t>962-96001-0895</t>
  </si>
  <si>
    <r>
      <rPr>
        <b/>
        <sz val="16"/>
        <color rgb="FF000000"/>
        <rFont val="Arial"/>
        <family val="2"/>
      </rPr>
      <t>Tape</t>
    </r>
    <r>
      <rPr>
        <sz val="16"/>
        <color rgb="FF000000"/>
        <rFont val="Arial"/>
        <family val="2"/>
      </rPr>
      <t xml:space="preserve"> </t>
    </r>
  </si>
  <si>
    <t>962-96002-01-0375</t>
  </si>
  <si>
    <r>
      <rPr>
        <b/>
        <sz val="16"/>
        <color rgb="FF000000"/>
        <rFont val="Arial"/>
        <family val="2"/>
      </rPr>
      <t>Take-Up Spool</t>
    </r>
    <r>
      <rPr>
        <sz val="16"/>
        <color rgb="FF000000"/>
        <rFont val="Arial"/>
        <family val="2"/>
      </rPr>
      <t xml:space="preserve"> </t>
    </r>
  </si>
  <si>
    <t>AT12679 (24"x14")</t>
  </si>
  <si>
    <r>
      <rPr>
        <sz val="12"/>
        <color theme="1"/>
        <rFont val="Arial Narrow"/>
        <family val="2"/>
      </rPr>
      <t>"</t>
    </r>
    <r>
      <rPr>
        <b/>
        <sz val="12"/>
        <color theme="1"/>
        <rFont val="Arial"/>
        <family val="2"/>
      </rPr>
      <t>PO</t>
    </r>
    <r>
      <rPr>
        <sz val="12"/>
        <color theme="1"/>
        <rFont val="Arial Narrow"/>
        <family val="2"/>
      </rPr>
      <t>"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"/>
        <family val="2"/>
      </rPr>
      <t>LaserLink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"/>
        <family val="2"/>
      </rPr>
      <t>OD</t>
    </r>
    <r>
      <rPr>
        <b/>
        <sz val="10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>(Avg, Inch)</t>
    </r>
  </si>
  <si>
    <t>-</t>
  </si>
  <si>
    <t>Pay-Off Torque Set Point (%)</t>
  </si>
  <si>
    <t>Take-Up Torque Set Point (%)</t>
  </si>
  <si>
    <t>Flat Wire Lay Direction</t>
  </si>
  <si>
    <t>S-DIRECTION</t>
  </si>
  <si>
    <t>Flat Wire Pitch Set-Point</t>
  </si>
  <si>
    <t>Head #1 Die Size</t>
  </si>
  <si>
    <r>
      <rPr>
        <sz val="12"/>
        <color theme="1"/>
        <rFont val="Arial Narrow"/>
        <family val="2"/>
      </rPr>
      <t>"</t>
    </r>
    <r>
      <rPr>
        <b/>
        <sz val="12"/>
        <color theme="1"/>
        <rFont val="Arial"/>
        <family val="2"/>
      </rPr>
      <t>H1</t>
    </r>
    <r>
      <rPr>
        <sz val="12"/>
        <color theme="1"/>
        <rFont val="Arial Narrow"/>
        <family val="2"/>
      </rPr>
      <t>"</t>
    </r>
    <r>
      <rPr>
        <b/>
        <sz val="11"/>
        <color theme="1"/>
        <rFont val="Arial"/>
        <family val="2"/>
      </rPr>
      <t xml:space="preserve"> LaserLink OD</t>
    </r>
    <r>
      <rPr>
        <b/>
        <sz val="10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>(Avg, Inch)</t>
    </r>
  </si>
  <si>
    <t>Tape Lay Direction</t>
  </si>
  <si>
    <t>Tape Pitch Set-Point</t>
  </si>
  <si>
    <t>Tape # 2, Overlap</t>
  </si>
  <si>
    <r>
      <rPr>
        <b/>
        <sz val="12"/>
        <color rgb="FF000000"/>
        <rFont val="Arial"/>
        <family val="2"/>
      </rPr>
      <t>Head #2, Tension</t>
    </r>
    <r>
      <rPr>
        <sz val="9"/>
        <color rgb="FF000000"/>
        <rFont val="Arial"/>
        <family val="2"/>
      </rPr>
      <t xml:space="preserve"> </t>
    </r>
    <r>
      <rPr>
        <i/>
        <sz val="11"/>
        <color rgb="FF000000"/>
        <rFont val="Arial"/>
        <family val="2"/>
      </rPr>
      <t>(N)</t>
    </r>
  </si>
  <si>
    <t>Tape Roller #1 Position</t>
  </si>
  <si>
    <t>Tape Roller #2 Position</t>
  </si>
  <si>
    <r>
      <rPr>
        <sz val="12"/>
        <color theme="1"/>
        <rFont val="Arial Narrow"/>
        <family val="2"/>
      </rPr>
      <t>"</t>
    </r>
    <r>
      <rPr>
        <b/>
        <sz val="12"/>
        <color theme="1"/>
        <rFont val="Arial"/>
        <family val="2"/>
      </rPr>
      <t>H2</t>
    </r>
    <r>
      <rPr>
        <sz val="12"/>
        <color theme="1"/>
        <rFont val="Arial Narrow"/>
        <family val="2"/>
      </rPr>
      <t>"</t>
    </r>
    <r>
      <rPr>
        <b/>
        <sz val="11"/>
        <color theme="1"/>
        <rFont val="Arial"/>
        <family val="2"/>
      </rPr>
      <t xml:space="preserve"> LaserLink OD</t>
    </r>
    <r>
      <rPr>
        <b/>
        <sz val="10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>(Avg, Inch)</t>
    </r>
  </si>
  <si>
    <r>
      <rPr>
        <b/>
        <sz val="12"/>
        <color theme="1"/>
        <rFont val="Arial"/>
        <family val="2"/>
      </rPr>
      <t>Line Speed</t>
    </r>
    <r>
      <rPr>
        <b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(ft/min)</t>
    </r>
  </si>
  <si>
    <r>
      <rPr>
        <sz val="12"/>
        <color theme="1"/>
        <rFont val="Arial Narrow"/>
        <family val="2"/>
      </rPr>
      <t>"</t>
    </r>
    <r>
      <rPr>
        <b/>
        <sz val="12"/>
        <color theme="1"/>
        <rFont val="Arial"/>
        <family val="2"/>
      </rPr>
      <t>TU</t>
    </r>
    <r>
      <rPr>
        <sz val="12"/>
        <color theme="1"/>
        <rFont val="Arial Narrow"/>
        <family val="2"/>
      </rPr>
      <t>"</t>
    </r>
    <r>
      <rPr>
        <b/>
        <sz val="11"/>
        <color theme="1"/>
        <rFont val="Arial"/>
        <family val="2"/>
      </rPr>
      <t xml:space="preserve"> LaserLink OD</t>
    </r>
    <r>
      <rPr>
        <b/>
        <sz val="10"/>
        <color theme="1"/>
        <rFont val="Arial Narrow"/>
        <family val="2"/>
      </rPr>
      <t xml:space="preserve"> </t>
    </r>
    <r>
      <rPr>
        <i/>
        <sz val="10"/>
        <color theme="1"/>
        <rFont val="Arial Narrow"/>
        <family val="2"/>
      </rPr>
      <t>(Avg, Inch)</t>
    </r>
  </si>
  <si>
    <t>REFERENCE AP96-006</t>
  </si>
  <si>
    <r>
      <rPr>
        <b/>
        <sz val="14"/>
        <color rgb="FF000000"/>
        <rFont val="Arial"/>
        <family val="2"/>
      </rPr>
      <t>AT12679</t>
    </r>
    <r>
      <rPr>
        <sz val="14"/>
        <color rgb="FF000000"/>
        <rFont val="Arial"/>
        <family val="2"/>
      </rPr>
      <t xml:space="preserve"> (24" x 14")</t>
    </r>
  </si>
  <si>
    <t>Tension Spring Color</t>
  </si>
  <si>
    <t>Variable Picks</t>
  </si>
  <si>
    <r>
      <t xml:space="preserve">Transition Length </t>
    </r>
    <r>
      <rPr>
        <i/>
        <sz val="12"/>
        <color theme="1"/>
        <rFont val="Arial"/>
        <family val="2"/>
      </rPr>
      <t>(Inch)</t>
    </r>
  </si>
  <si>
    <r>
      <rPr>
        <b/>
        <sz val="11.5"/>
        <color theme="1"/>
        <rFont val="Arial"/>
        <family val="2"/>
      </rPr>
      <t xml:space="preserve">Max Weight </t>
    </r>
    <r>
      <rPr>
        <i/>
        <sz val="11.5"/>
        <color theme="1"/>
        <rFont val="Arial"/>
        <family val="2"/>
      </rPr>
      <t>(lbs/1,000FT)</t>
    </r>
  </si>
  <si>
    <t>REFERENCE AP96-048</t>
  </si>
  <si>
    <t>Electrical (Signal Integrity) Testing</t>
  </si>
  <si>
    <t>Cut 25-foot section of cable, prep ends and terminate to test PCB.</t>
  </si>
  <si>
    <t>Connect to Network Analyzer, enter job information and acquire data.</t>
  </si>
  <si>
    <t>Print summary datasheet and include with job package.</t>
  </si>
  <si>
    <t>Pass / Fail?</t>
  </si>
  <si>
    <t>Test Plot Attached?</t>
  </si>
  <si>
    <r>
      <t xml:space="preserve">Total Amount </t>
    </r>
    <r>
      <rPr>
        <b/>
        <i/>
        <sz val="14"/>
        <color rgb="FF000000"/>
        <rFont val="Arial Narrow"/>
        <family val="2"/>
      </rPr>
      <t>(lbs):</t>
    </r>
  </si>
  <si>
    <t>Respooling/UV Laser Marking</t>
  </si>
  <si>
    <t>REFERENCE AP96-054, AP96-058, AP96-059, AP96-060, AP96-061</t>
  </si>
  <si>
    <t>Max Ft/Spool</t>
  </si>
  <si>
    <r>
      <t xml:space="preserve">AT12064 </t>
    </r>
    <r>
      <rPr>
        <i/>
        <sz val="14"/>
        <color theme="1"/>
        <rFont val="Arial"/>
        <family val="2"/>
      </rPr>
      <t>(11.75" X 7")</t>
    </r>
  </si>
  <si>
    <t>Spark Test (kV)</t>
  </si>
  <si>
    <r>
      <t>Text Spacing</t>
    </r>
    <r>
      <rPr>
        <i/>
        <sz val="12"/>
        <color theme="1"/>
        <rFont val="Arial"/>
        <family val="2"/>
      </rPr>
      <t xml:space="preserve"> (in)</t>
    </r>
  </si>
  <si>
    <t>Samples for Test Lab</t>
  </si>
  <si>
    <t xml:space="preserve">Cut off 1 ft sample (qty:1). Package sample in bag. Label bag with part number and job number. </t>
  </si>
  <si>
    <r>
      <t xml:space="preserve">NO SPLICES. 
SCRAP ALL LENGTHS LESS THAN </t>
    </r>
    <r>
      <rPr>
        <b/>
        <sz val="14"/>
        <rFont val="Arial"/>
        <family val="2"/>
      </rPr>
      <t>3</t>
    </r>
    <r>
      <rPr>
        <b/>
        <sz val="14"/>
        <color theme="1"/>
        <rFont val="Arial"/>
        <family val="2"/>
      </rPr>
      <t xml:space="preserve"> FT. </t>
    </r>
  </si>
  <si>
    <t>Create Tracer Ticket (PRDF 164A) with the following information:</t>
  </si>
  <si>
    <t>1.  Tracking #
2.  Job # &amp; Item #
3.  Part Number
4.  Qty
5.  Date</t>
  </si>
  <si>
    <t>Per figure 1, seal both ends of the wire. Ends shall be sealed with shrink tubing or tape. 
Per figure 2, wrap spool/reel &amp; tracer ticket with stretch wrap.</t>
  </si>
  <si>
    <t>Graham Extruder</t>
  </si>
  <si>
    <t>REFERENCE AP96-001</t>
  </si>
  <si>
    <r>
      <t>Estimated Footage</t>
    </r>
    <r>
      <rPr>
        <b/>
        <sz val="11"/>
        <color rgb="FF000000"/>
        <rFont val="Arial"/>
        <family val="2"/>
      </rPr>
      <t xml:space="preserve"> </t>
    </r>
  </si>
  <si>
    <t>Color #1</t>
  </si>
  <si>
    <t>Color #2</t>
  </si>
  <si>
    <r>
      <t>Incoming O.D.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(in)</t>
    </r>
  </si>
  <si>
    <r>
      <t xml:space="preserve">Dry Time </t>
    </r>
    <r>
      <rPr>
        <i/>
        <sz val="11"/>
        <color theme="1"/>
        <rFont val="Arial"/>
        <family val="2"/>
      </rPr>
      <t>(hrs)</t>
    </r>
  </si>
  <si>
    <r>
      <t>Wire Pre-Heat Setting</t>
    </r>
    <r>
      <rPr>
        <b/>
        <i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(°F/V)</t>
    </r>
  </si>
  <si>
    <t>Filter Pack Mesh Size</t>
  </si>
  <si>
    <r>
      <t xml:space="preserve">Barrel Zone #1 Temp. </t>
    </r>
    <r>
      <rPr>
        <i/>
        <sz val="11"/>
        <color theme="1"/>
        <rFont val="Arial"/>
        <family val="2"/>
      </rPr>
      <t>(°F)</t>
    </r>
  </si>
  <si>
    <r>
      <t>Barrel Zone #2 Temp.</t>
    </r>
    <r>
      <rPr>
        <b/>
        <i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(°F)</t>
    </r>
  </si>
  <si>
    <r>
      <t xml:space="preserve">Barrel Zone #3 Temp. </t>
    </r>
    <r>
      <rPr>
        <i/>
        <sz val="11"/>
        <color theme="1"/>
        <rFont val="Arial"/>
        <family val="2"/>
      </rPr>
      <t>(°F)</t>
    </r>
  </si>
  <si>
    <r>
      <t>Barrel Zone #4 Temp.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(°F)</t>
    </r>
  </si>
  <si>
    <r>
      <t xml:space="preserve">Barrel Zone #5 Temp. </t>
    </r>
    <r>
      <rPr>
        <i/>
        <sz val="11"/>
        <color theme="1"/>
        <rFont val="Arial"/>
        <family val="2"/>
      </rPr>
      <t>(°F)</t>
    </r>
  </si>
  <si>
    <r>
      <t xml:space="preserve">Clamp Temp. </t>
    </r>
    <r>
      <rPr>
        <i/>
        <sz val="11"/>
        <color theme="1"/>
        <rFont val="Arial"/>
        <family val="2"/>
      </rPr>
      <t>(°F)</t>
    </r>
  </si>
  <si>
    <r>
      <t xml:space="preserve">Neck/Flange </t>
    </r>
    <r>
      <rPr>
        <b/>
        <i/>
        <sz val="10.5"/>
        <color rgb="FF0000FF"/>
        <rFont val="Arial"/>
        <family val="2"/>
      </rPr>
      <t>(1D1)</t>
    </r>
    <r>
      <rPr>
        <b/>
        <sz val="10.5"/>
        <color theme="1"/>
        <rFont val="Arial"/>
        <family val="2"/>
      </rPr>
      <t xml:space="preserve"> Temp. </t>
    </r>
    <r>
      <rPr>
        <i/>
        <sz val="10.5"/>
        <color theme="1"/>
        <rFont val="Arial"/>
        <family val="2"/>
      </rPr>
      <t>(°F)</t>
    </r>
  </si>
  <si>
    <r>
      <t xml:space="preserve">Die Zone #1 </t>
    </r>
    <r>
      <rPr>
        <b/>
        <i/>
        <sz val="10.5"/>
        <color rgb="FF0000FF"/>
        <rFont val="Arial"/>
        <family val="2"/>
      </rPr>
      <t>(1D2)</t>
    </r>
    <r>
      <rPr>
        <b/>
        <sz val="10.5"/>
        <color theme="1"/>
        <rFont val="Arial"/>
        <family val="2"/>
      </rPr>
      <t xml:space="preserve"> Temp. </t>
    </r>
    <r>
      <rPr>
        <i/>
        <sz val="10.5"/>
        <color theme="1"/>
        <rFont val="Arial"/>
        <family val="2"/>
      </rPr>
      <t>(°F)</t>
    </r>
  </si>
  <si>
    <r>
      <t>Die Zone #2</t>
    </r>
    <r>
      <rPr>
        <b/>
        <sz val="10.5"/>
        <color rgb="FF0000FF"/>
        <rFont val="Arial"/>
        <family val="2"/>
      </rPr>
      <t xml:space="preserve"> </t>
    </r>
    <r>
      <rPr>
        <b/>
        <i/>
        <sz val="10.5"/>
        <color rgb="FF0000FF"/>
        <rFont val="Arial"/>
        <family val="2"/>
      </rPr>
      <t>(1D3)</t>
    </r>
    <r>
      <rPr>
        <b/>
        <sz val="10.5"/>
        <color theme="1"/>
        <rFont val="Arial"/>
        <family val="2"/>
      </rPr>
      <t xml:space="preserve"> Temp. </t>
    </r>
    <r>
      <rPr>
        <i/>
        <sz val="10.5"/>
        <color theme="1"/>
        <rFont val="Arial"/>
        <family val="2"/>
      </rPr>
      <t>(°F)</t>
    </r>
  </si>
  <si>
    <r>
      <t xml:space="preserve">Die Zone #3 </t>
    </r>
    <r>
      <rPr>
        <b/>
        <i/>
        <sz val="10.5"/>
        <color rgb="FF0000FF"/>
        <rFont val="Arial"/>
        <family val="2"/>
      </rPr>
      <t>(1D4)</t>
    </r>
    <r>
      <rPr>
        <b/>
        <i/>
        <sz val="10.5"/>
        <color theme="1"/>
        <rFont val="Arial"/>
        <family val="2"/>
      </rPr>
      <t xml:space="preserve"> </t>
    </r>
    <r>
      <rPr>
        <b/>
        <sz val="10.5"/>
        <color theme="1"/>
        <rFont val="Arial"/>
        <family val="2"/>
      </rPr>
      <t xml:space="preserve">Temp. </t>
    </r>
    <r>
      <rPr>
        <i/>
        <sz val="10.5"/>
        <color theme="1"/>
        <rFont val="Arial"/>
        <family val="2"/>
      </rPr>
      <t>(°F)</t>
    </r>
  </si>
  <si>
    <r>
      <t xml:space="preserve">Die Zone #4 </t>
    </r>
    <r>
      <rPr>
        <b/>
        <i/>
        <sz val="10.5"/>
        <color rgb="FF0000FF"/>
        <rFont val="Arial"/>
        <family val="2"/>
      </rPr>
      <t>(1D5)</t>
    </r>
    <r>
      <rPr>
        <b/>
        <i/>
        <sz val="10.5"/>
        <color theme="1"/>
        <rFont val="Arial"/>
        <family val="2"/>
      </rPr>
      <t xml:space="preserve"> </t>
    </r>
    <r>
      <rPr>
        <b/>
        <sz val="10.5"/>
        <color theme="1"/>
        <rFont val="Arial"/>
        <family val="2"/>
      </rPr>
      <t>Temp.</t>
    </r>
    <r>
      <rPr>
        <sz val="10.5"/>
        <color theme="1"/>
        <rFont val="Arial"/>
        <family val="2"/>
      </rPr>
      <t xml:space="preserve"> </t>
    </r>
    <r>
      <rPr>
        <i/>
        <sz val="10.5"/>
        <color theme="1"/>
        <rFont val="Arial"/>
        <family val="2"/>
      </rPr>
      <t>(°F)</t>
    </r>
  </si>
  <si>
    <r>
      <t>Trough #1 Temp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(°F)</t>
    </r>
  </si>
  <si>
    <r>
      <t xml:space="preserve">Trough #2 Temp </t>
    </r>
    <r>
      <rPr>
        <i/>
        <sz val="11"/>
        <color theme="1"/>
        <rFont val="Arial"/>
        <family val="2"/>
      </rPr>
      <t>(°F)</t>
    </r>
  </si>
  <si>
    <r>
      <t xml:space="preserve">COLD WATER </t>
    </r>
    <r>
      <rPr>
        <sz val="8"/>
        <color theme="1"/>
        <rFont val="Arial"/>
        <family val="2"/>
      </rPr>
      <t>(60°F)</t>
    </r>
  </si>
  <si>
    <r>
      <t>Pay-Off Setting:</t>
    </r>
    <r>
      <rPr>
        <b/>
        <sz val="9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      </t>
    </r>
    <r>
      <rPr>
        <i/>
        <sz val="10"/>
        <color theme="1"/>
        <rFont val="Arial"/>
        <family val="2"/>
      </rPr>
      <t>grams</t>
    </r>
    <r>
      <rPr>
        <b/>
        <i/>
        <sz val="10"/>
        <color theme="1"/>
        <rFont val="Arial"/>
        <family val="2"/>
      </rPr>
      <t xml:space="preserve">      </t>
    </r>
    <r>
      <rPr>
        <i/>
        <sz val="10"/>
        <color theme="1"/>
        <rFont val="Arial"/>
        <family val="2"/>
      </rPr>
      <t>psi</t>
    </r>
    <r>
      <rPr>
        <sz val="10"/>
        <color theme="1"/>
        <rFont val="Arial"/>
        <family val="2"/>
      </rPr>
      <t xml:space="preserve"> </t>
    </r>
  </si>
  <si>
    <r>
      <t>Take-Up Tension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(lbs)</t>
    </r>
  </si>
  <si>
    <r>
      <t>Caterpuller</t>
    </r>
    <r>
      <rPr>
        <i/>
        <sz val="11"/>
        <color theme="1"/>
        <rFont val="Arial"/>
        <family val="2"/>
      </rPr>
      <t xml:space="preserve"> (ft/min)</t>
    </r>
  </si>
  <si>
    <r>
      <t xml:space="preserve">Spark Test </t>
    </r>
    <r>
      <rPr>
        <i/>
        <sz val="11"/>
        <color theme="1"/>
        <rFont val="Arial"/>
        <family val="2"/>
      </rPr>
      <t>(kV)</t>
    </r>
  </si>
  <si>
    <r>
      <t>Wall</t>
    </r>
    <r>
      <rPr>
        <b/>
        <i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Thickness </t>
    </r>
    <r>
      <rPr>
        <i/>
        <sz val="11"/>
        <color theme="1"/>
        <rFont val="Arial"/>
        <family val="2"/>
      </rPr>
      <t>(in)</t>
    </r>
  </si>
  <si>
    <r>
      <t xml:space="preserve">Final O.D. </t>
    </r>
    <r>
      <rPr>
        <i/>
        <sz val="11"/>
        <color theme="1"/>
        <rFont val="Arial"/>
        <family val="2"/>
      </rPr>
      <t>(in)</t>
    </r>
  </si>
  <si>
    <r>
      <t xml:space="preserve">Min. Concentricity </t>
    </r>
    <r>
      <rPr>
        <sz val="11"/>
        <color theme="1"/>
        <rFont val="Arial"/>
        <family val="2"/>
      </rPr>
      <t>(</t>
    </r>
    <r>
      <rPr>
        <i/>
        <sz val="11"/>
        <color theme="1"/>
        <rFont val="Arial"/>
        <family val="2"/>
      </rPr>
      <t>%)</t>
    </r>
    <r>
      <rPr>
        <b/>
        <sz val="11"/>
        <color theme="1"/>
        <rFont val="Arial"/>
        <family val="2"/>
      </rPr>
      <t xml:space="preserve"> </t>
    </r>
  </si>
  <si>
    <t xml:space="preserve"> Extrusion Testing</t>
  </si>
  <si>
    <r>
      <t xml:space="preserve">Min. Tensile Strength </t>
    </r>
    <r>
      <rPr>
        <i/>
        <sz val="11"/>
        <color theme="1"/>
        <rFont val="Arial"/>
        <family val="2"/>
      </rPr>
      <t>(psi)</t>
    </r>
  </si>
  <si>
    <r>
      <t>Min. Elongation</t>
    </r>
    <r>
      <rPr>
        <i/>
        <sz val="11"/>
        <color theme="1"/>
        <rFont val="Arial"/>
        <family val="2"/>
      </rPr>
      <t xml:space="preserve"> (%)</t>
    </r>
  </si>
  <si>
    <t>Incoming OD (in)</t>
  </si>
  <si>
    <t>Reference SOP: AP96-067</t>
  </si>
  <si>
    <t>Niehoff Braider</t>
  </si>
  <si>
    <t>SI Testing (Post-Spiral)</t>
  </si>
  <si>
    <t>Batch/Lot #</t>
  </si>
  <si>
    <t xml:space="preserve">Feed first 2 feet (min) of wire/cable through hole in take-up spool and secure to spool flange. </t>
  </si>
  <si>
    <r>
      <t xml:space="preserve">Min. Break Strength </t>
    </r>
    <r>
      <rPr>
        <i/>
        <sz val="11"/>
        <color theme="1"/>
        <rFont val="Arial"/>
        <family val="2"/>
      </rPr>
      <t>(lbf)</t>
    </r>
  </si>
  <si>
    <t>Jacket</t>
  </si>
  <si>
    <t>Conductor</t>
  </si>
  <si>
    <r>
      <t xml:space="preserve">         Max. Weight </t>
    </r>
    <r>
      <rPr>
        <i/>
        <sz val="11"/>
        <color theme="1"/>
        <rFont val="Arial"/>
        <family val="2"/>
      </rPr>
      <t>(lbs/1000ft)</t>
    </r>
  </si>
  <si>
    <r>
      <t xml:space="preserve">Tension Measured </t>
    </r>
    <r>
      <rPr>
        <i/>
        <sz val="11"/>
        <color theme="1"/>
        <rFont val="Arial"/>
        <family val="2"/>
      </rPr>
      <t>(grams)</t>
    </r>
  </si>
  <si>
    <t>600/5</t>
  </si>
  <si>
    <r>
      <t>Dry Temp.</t>
    </r>
    <r>
      <rPr>
        <b/>
        <i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(°C)</t>
    </r>
  </si>
  <si>
    <r>
      <rPr>
        <b/>
        <sz val="13"/>
        <color rgb="FF000000"/>
        <rFont val="Arial"/>
        <family val="2"/>
      </rPr>
      <t>AT12679</t>
    </r>
    <r>
      <rPr>
        <sz val="13"/>
        <color rgb="FF000000"/>
        <rFont val="Arial"/>
        <family val="2"/>
      </rPr>
      <t xml:space="preserve"> (24" X 14" )</t>
    </r>
  </si>
  <si>
    <t>CDC</t>
  </si>
  <si>
    <t>APPLY PTFE TAPES TO CONDUCTOR</t>
  </si>
  <si>
    <t>PERFORM TAPE CONDITIONING</t>
  </si>
  <si>
    <t>APPLY FLAT WIRE TAPE (SPIRAL) AND ALUMINIZED POLYIMIDE TAPE TO CABLE</t>
  </si>
  <si>
    <t>WTM 3-Bay</t>
  </si>
  <si>
    <t>REFERENCE AP96-007</t>
  </si>
  <si>
    <t xml:space="preserve">Tape #1 </t>
  </si>
  <si>
    <t xml:space="preserve">Tape #2 </t>
  </si>
  <si>
    <t xml:space="preserve">Tape #3 </t>
  </si>
  <si>
    <r>
      <rPr>
        <b/>
        <sz val="12"/>
        <color theme="1"/>
        <rFont val="Calibri"/>
        <family val="2"/>
        <scheme val="minor"/>
      </rPr>
      <t>"PO"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LaserLink OD </t>
    </r>
    <r>
      <rPr>
        <i/>
        <sz val="8"/>
        <color theme="1"/>
        <rFont val="Calibri"/>
        <family val="2"/>
        <scheme val="minor"/>
      </rPr>
      <t>(Avg, Inch)</t>
    </r>
  </si>
  <si>
    <t>Caterpillar Die Size</t>
  </si>
  <si>
    <r>
      <t>Pay-Off Dancer Set Point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(%)</t>
    </r>
  </si>
  <si>
    <r>
      <t>Pay-Off Dancer Valve Set Point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>(%)</t>
    </r>
  </si>
  <si>
    <r>
      <t>Pay-Off Dancer Load Cell Set Point</t>
    </r>
    <r>
      <rPr>
        <sz val="9"/>
        <color rgb="FF000000"/>
        <rFont val="Calibri"/>
        <family val="2"/>
        <scheme val="minor"/>
      </rPr>
      <t xml:space="preserve"> </t>
    </r>
    <r>
      <rPr>
        <i/>
        <sz val="9"/>
        <color rgb="FF000000"/>
        <rFont val="Calibri"/>
        <family val="2"/>
        <scheme val="minor"/>
      </rPr>
      <t>(N)</t>
    </r>
  </si>
  <si>
    <r>
      <t>Pay-Off Torque Set Point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(%)</t>
    </r>
  </si>
  <si>
    <r>
      <t>Pay-Off Pull Set Point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(N)</t>
    </r>
  </si>
  <si>
    <r>
      <t>Take-Up Torque Set Point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(%)</t>
    </r>
  </si>
  <si>
    <t>Tape #1, Lay Direction</t>
  </si>
  <si>
    <t>Tape #1, Pitch Set-Point</t>
  </si>
  <si>
    <t>Tape #1, Overlap</t>
  </si>
  <si>
    <r>
      <t>Tape #1, Tension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(N)</t>
    </r>
  </si>
  <si>
    <t>Tape #1, Roller #1/#2 Position</t>
  </si>
  <si>
    <t>/</t>
  </si>
  <si>
    <r>
      <rPr>
        <b/>
        <sz val="12"/>
        <color theme="1"/>
        <rFont val="Calibri"/>
        <family val="2"/>
        <scheme val="minor"/>
      </rPr>
      <t>"H1"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LaserLink OD </t>
    </r>
    <r>
      <rPr>
        <i/>
        <sz val="8"/>
        <color theme="1"/>
        <rFont val="Calibri"/>
        <family val="2"/>
        <scheme val="minor"/>
      </rPr>
      <t>(Avg, Inch)</t>
    </r>
  </si>
  <si>
    <t>Tape #2, Lay Direction</t>
  </si>
  <si>
    <t>Tape #2, Pitch Set-Point</t>
  </si>
  <si>
    <t>Tape #2, Overlap</t>
  </si>
  <si>
    <r>
      <t>Tape #2, Tension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(N)</t>
    </r>
  </si>
  <si>
    <t>Tape #2, Roller #1/#2 Position</t>
  </si>
  <si>
    <r>
      <rPr>
        <b/>
        <sz val="12"/>
        <color theme="1"/>
        <rFont val="Calibri"/>
        <family val="2"/>
        <scheme val="minor"/>
      </rPr>
      <t>"H2"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LaserLink OD </t>
    </r>
    <r>
      <rPr>
        <i/>
        <sz val="8"/>
        <color theme="1"/>
        <rFont val="Calibri"/>
        <family val="2"/>
        <scheme val="minor"/>
      </rPr>
      <t>(Avg, Inch)</t>
    </r>
  </si>
  <si>
    <t>Tape #3, Lay Direction</t>
  </si>
  <si>
    <t>Tape #3, Pitch Set-Point</t>
  </si>
  <si>
    <t>Tape #3, Overlap</t>
  </si>
  <si>
    <r>
      <t>Tape #3, Tension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(N)</t>
    </r>
  </si>
  <si>
    <t>Tape #3, Roller #1/#2 Position</t>
  </si>
  <si>
    <r>
      <rPr>
        <b/>
        <sz val="12"/>
        <color theme="1"/>
        <rFont val="Calibri"/>
        <family val="2"/>
        <scheme val="minor"/>
      </rPr>
      <t>"H3"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LaserLink OD </t>
    </r>
    <r>
      <rPr>
        <i/>
        <sz val="8"/>
        <color theme="1"/>
        <rFont val="Calibri"/>
        <family val="2"/>
        <scheme val="minor"/>
      </rPr>
      <t>(Avg, Inch)</t>
    </r>
  </si>
  <si>
    <r>
      <t xml:space="preserve">Line Speed  </t>
    </r>
    <r>
      <rPr>
        <i/>
        <sz val="11"/>
        <color theme="1"/>
        <rFont val="Calibri"/>
        <family val="2"/>
        <scheme val="minor"/>
      </rPr>
      <t>(ft/min)</t>
    </r>
  </si>
  <si>
    <r>
      <rPr>
        <b/>
        <sz val="12"/>
        <color theme="1"/>
        <rFont val="Calibri"/>
        <family val="2"/>
        <scheme val="minor"/>
      </rPr>
      <t>"TU"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LaserLink OD </t>
    </r>
    <r>
      <rPr>
        <i/>
        <sz val="8"/>
        <color theme="1"/>
        <rFont val="Calibri"/>
        <family val="2"/>
        <scheme val="minor"/>
      </rPr>
      <t>(Avg, Inch)</t>
    </r>
  </si>
  <si>
    <t>Take-Up Spool Size</t>
  </si>
  <si>
    <r>
      <rPr>
        <b/>
        <sz val="14"/>
        <color theme="1"/>
        <rFont val="Arial"/>
        <family val="2"/>
      </rPr>
      <t>AT12679</t>
    </r>
    <r>
      <rPr>
        <b/>
        <sz val="12"/>
        <color theme="1"/>
        <rFont val="Arial"/>
        <family val="2"/>
      </rPr>
      <t xml:space="preserve"> </t>
    </r>
    <r>
      <rPr>
        <i/>
        <sz val="14"/>
        <color theme="1"/>
        <rFont val="Arial Narrow"/>
        <family val="2"/>
      </rPr>
      <t>(24" X 14")</t>
    </r>
  </si>
  <si>
    <t>GPS288</t>
  </si>
  <si>
    <t>GPS247-6</t>
  </si>
  <si>
    <t>GPS247-9</t>
  </si>
  <si>
    <t>962-96000-05L0150</t>
  </si>
  <si>
    <t>962-96000-05L0200</t>
  </si>
  <si>
    <t>962-96000-05L0250</t>
  </si>
  <si>
    <t>0 / 6</t>
  </si>
  <si>
    <t>1 / 5</t>
  </si>
  <si>
    <t>Taping #1</t>
  </si>
  <si>
    <t>Taping #2</t>
  </si>
  <si>
    <t>2/3 WRAP</t>
  </si>
  <si>
    <t>Tape Conditioning</t>
  </si>
  <si>
    <t>Oven</t>
  </si>
  <si>
    <t>OVEN:</t>
  </si>
  <si>
    <t xml:space="preserve">  JPW            Wisconsin</t>
  </si>
  <si>
    <r>
      <t>Oven Temperature</t>
    </r>
    <r>
      <rPr>
        <i/>
        <sz val="12"/>
        <color theme="1"/>
        <rFont val="Arial"/>
        <family val="2"/>
      </rPr>
      <t xml:space="preserve"> (°F)</t>
    </r>
  </si>
  <si>
    <r>
      <t>Minimum Bake Duration</t>
    </r>
    <r>
      <rPr>
        <i/>
        <sz val="12"/>
        <color theme="1"/>
        <rFont val="Arial"/>
        <family val="2"/>
      </rPr>
      <t xml:space="preserve"> (Hours)</t>
    </r>
  </si>
  <si>
    <t>TIME IN:</t>
  </si>
  <si>
    <t>TIME OUT:</t>
  </si>
  <si>
    <t>962-96001-SPC-2.5-0300</t>
  </si>
  <si>
    <t>962-96003-ALK-1.4-0250</t>
  </si>
  <si>
    <t>Z-DIRECTION / FOIL IN</t>
  </si>
  <si>
    <t>961-96207-SCC-40-8</t>
  </si>
  <si>
    <t>80/80</t>
  </si>
  <si>
    <t>GP</t>
  </si>
  <si>
    <t>AIR</t>
  </si>
  <si>
    <t>12 MAX</t>
  </si>
  <si>
    <t>APPLY PTFE TAPES TO CABLE</t>
  </si>
  <si>
    <t>GLENAIR BLUMARK 962-032-130 06324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</si>
</sst>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/yyyy"/>
    <numFmt numFmtId="165" formatCode="0\ &quot;GHz&quot;"/>
    <numFmt numFmtId="166" formatCode="0.000"/>
    <numFmt numFmtId="167" formatCode="0\°"/>
    <numFmt numFmtId="168" formatCode="0.0000"/>
    <numFmt numFmtId="169" formatCode="0.0"/>
    <numFmt numFmtId="170" formatCode="0.0%"/>
    <numFmt numFmtId="171" formatCode="###&quot;°F&quot;"/>
    <numFmt numFmtId="172" formatCode="0.00\°"/>
  </numFmts>
  <fonts count="1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4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rgb="FF000000"/>
      <name val="Times New Roman"/>
      <family val="1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6"/>
      <color theme="1"/>
      <name val="Arial"/>
      <family val="2"/>
    </font>
    <font>
      <i/>
      <sz val="14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u/>
      <sz val="16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 Narrow"/>
      <family val="2"/>
    </font>
    <font>
      <i/>
      <sz val="12"/>
      <color theme="1"/>
      <name val="Arial"/>
      <family val="2"/>
    </font>
    <font>
      <b/>
      <u/>
      <sz val="16"/>
      <color rgb="FF000000"/>
      <name val="Arial"/>
      <family val="2"/>
    </font>
    <font>
      <sz val="16"/>
      <color theme="1"/>
      <name val="Arial"/>
      <family val="2"/>
    </font>
    <font>
      <b/>
      <i/>
      <sz val="20"/>
      <color theme="1"/>
      <name val="Arial"/>
      <family val="2"/>
    </font>
    <font>
      <b/>
      <sz val="10"/>
      <color theme="1"/>
      <name val="Calibri"/>
      <family val="2"/>
    </font>
    <font>
      <sz val="16"/>
      <color rgb="FF000000"/>
      <name val="Arial"/>
      <family val="2"/>
    </font>
    <font>
      <sz val="14"/>
      <name val="Arial"/>
      <family val="2"/>
    </font>
    <font>
      <b/>
      <u/>
      <sz val="14"/>
      <color rgb="FF000000"/>
      <name val="Arial"/>
      <family val="2"/>
    </font>
    <font>
      <sz val="12"/>
      <color rgb="FF000000"/>
      <name val="Arial"/>
      <family val="2"/>
    </font>
    <font>
      <i/>
      <sz val="10"/>
      <color theme="1"/>
      <name val="Century Gothic"/>
      <family val="2"/>
    </font>
    <font>
      <sz val="10"/>
      <name val="Arial"/>
      <family val="2"/>
    </font>
    <font>
      <b/>
      <sz val="18"/>
      <color rgb="FF00000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8"/>
      <color rgb="FF000000"/>
      <name val="Arial"/>
      <family val="2"/>
    </font>
    <font>
      <b/>
      <i/>
      <u/>
      <sz val="16"/>
      <color theme="1"/>
      <name val="Arial"/>
      <family val="2"/>
    </font>
    <font>
      <b/>
      <i/>
      <sz val="11"/>
      <color theme="1"/>
      <name val="Arial"/>
      <family val="2"/>
    </font>
    <font>
      <i/>
      <sz val="16"/>
      <color theme="1"/>
      <name val="Courier New"/>
      <family val="3"/>
    </font>
    <font>
      <i/>
      <sz val="16"/>
      <color theme="1"/>
      <name val="Arial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i/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i/>
      <sz val="10"/>
      <name val="Arial"/>
      <family val="2"/>
    </font>
    <font>
      <b/>
      <sz val="11.5"/>
      <color theme="1"/>
      <name val="Arial"/>
      <family val="2"/>
    </font>
    <font>
      <i/>
      <sz val="11.5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rgb="FF000000"/>
      <name val="Arial Narrow"/>
      <family val="2"/>
    </font>
    <font>
      <sz val="11"/>
      <color theme="1"/>
      <name val="Courier New"/>
      <family val="3"/>
    </font>
    <font>
      <sz val="14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0.5"/>
      <color theme="1"/>
      <name val="Arial"/>
      <family val="2"/>
    </font>
    <font>
      <b/>
      <i/>
      <sz val="10.5"/>
      <color rgb="FF0000FF"/>
      <name val="Arial"/>
      <family val="2"/>
    </font>
    <font>
      <i/>
      <sz val="10.5"/>
      <color theme="1"/>
      <name val="Arial"/>
      <family val="2"/>
    </font>
    <font>
      <b/>
      <sz val="10.5"/>
      <color rgb="FF0000FF"/>
      <name val="Arial"/>
      <family val="2"/>
    </font>
    <font>
      <b/>
      <i/>
      <sz val="10.5"/>
      <color theme="1"/>
      <name val="Arial"/>
      <family val="2"/>
    </font>
    <font>
      <sz val="10.5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.5"/>
      <name val="Arial"/>
      <family val="2"/>
    </font>
    <font>
      <b/>
      <u/>
      <sz val="12"/>
      <color theme="1"/>
      <name val="Arial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sz val="13"/>
      <color rgb="FF000000"/>
      <name val="Arial"/>
      <family val="2"/>
    </font>
    <font>
      <sz val="13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6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Arial"/>
      <family val="2"/>
    </font>
    <font>
      <i/>
      <sz val="14"/>
      <color theme="1"/>
      <name val="Arial Narrow"/>
      <family val="2"/>
    </font>
    <font>
      <b/>
      <sz val="24"/>
      <color rgb="FF000000"/>
      <name val="Arial"/>
      <family val="2"/>
    </font>
    <font>
      <b/>
      <sz val="2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EDEDED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Dashed">
        <color indexed="64"/>
      </bottom>
      <diagonal/>
    </border>
    <border>
      <left/>
      <right style="dashed">
        <color indexed="64"/>
      </right>
      <top style="dashed">
        <color indexed="64"/>
      </top>
      <bottom style="medium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Dashed">
        <color indexed="64"/>
      </bottom>
      <diagonal/>
    </border>
    <border>
      <left/>
      <right style="dashed">
        <color indexed="64"/>
      </right>
      <top/>
      <bottom style="mediumDashed">
        <color indexed="64"/>
      </bottom>
      <diagonal/>
    </border>
    <border>
      <left style="dashed">
        <color indexed="64"/>
      </left>
      <right/>
      <top/>
      <bottom style="medium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/>
      <top style="medium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mediumDashed">
        <color indexed="64"/>
      </bottom>
      <diagonal/>
    </border>
    <border>
      <left style="dashed">
        <color indexed="64"/>
      </left>
      <right style="thin">
        <color indexed="64"/>
      </right>
      <top/>
      <bottom style="medium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dashed">
        <color theme="1"/>
      </right>
      <top/>
      <bottom/>
      <diagonal/>
    </border>
    <border>
      <left style="dashed">
        <color theme="1"/>
      </left>
      <right/>
      <top style="dashed">
        <color theme="1"/>
      </top>
      <bottom/>
      <diagonal/>
    </border>
    <border>
      <left/>
      <right style="dashed">
        <color theme="1"/>
      </right>
      <top style="dashed">
        <color theme="1"/>
      </top>
      <bottom/>
      <diagonal/>
    </border>
    <border>
      <left style="dashed">
        <color theme="1"/>
      </left>
      <right/>
      <top/>
      <bottom style="mediumDashed">
        <color theme="1"/>
      </bottom>
      <diagonal/>
    </border>
    <border>
      <left/>
      <right style="dashed">
        <color theme="1"/>
      </right>
      <top/>
      <bottom style="mediumDashed">
        <color theme="1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Dashed">
        <color indexed="64"/>
      </bottom>
      <diagonal/>
    </border>
  </borders>
  <cellStyleXfs count="2">
    <xf numFmtId="0" fontId="0" fillId="0" borderId="0"/>
    <xf numFmtId="9" fontId="89" fillId="0" borderId="0" applyFont="0" applyFill="0" applyBorder="0" applyAlignment="0" applyProtection="0"/>
  </cellStyleXfs>
  <cellXfs count="791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left" vertical="center"/>
      <protection locked="0"/>
    </xf>
    <xf numFmtId="0" fontId="0" fillId="3" borderId="0" xfId="0" applyFill="1"/>
    <xf numFmtId="0" fontId="1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30" xfId="0" applyFont="1" applyFill="1" applyBorder="1" applyAlignment="1">
      <alignment horizontal="center"/>
    </xf>
    <xf numFmtId="0" fontId="15" fillId="2" borderId="49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23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0" fillId="3" borderId="14" xfId="0" applyFill="1" applyBorder="1" applyAlignment="1" applyProtection="1">
      <alignment vertical="center"/>
      <protection locked="0"/>
    </xf>
    <xf numFmtId="0" fontId="0" fillId="3" borderId="16" xfId="0" applyFill="1" applyBorder="1" applyAlignment="1" applyProtection="1">
      <alignment vertical="center"/>
      <protection locked="0"/>
    </xf>
    <xf numFmtId="0" fontId="0" fillId="3" borderId="15" xfId="0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2" fillId="3" borderId="14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left" vertical="center" indent="1"/>
    </xf>
    <xf numFmtId="0" fontId="0" fillId="3" borderId="8" xfId="0" applyFill="1" applyBorder="1" applyAlignment="1" applyProtection="1">
      <alignment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9" xfId="0" applyFill="1" applyBorder="1" applyAlignment="1" applyProtection="1">
      <alignment vertical="center"/>
      <protection locked="0"/>
    </xf>
    <xf numFmtId="0" fontId="6" fillId="3" borderId="17" xfId="0" applyFont="1" applyFill="1" applyBorder="1" applyAlignment="1" applyProtection="1">
      <alignment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25" fillId="3" borderId="0" xfId="0" applyFont="1" applyFill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19" fillId="3" borderId="0" xfId="0" applyFont="1" applyFill="1" applyAlignment="1">
      <alignment horizontal="center" vertical="center"/>
    </xf>
    <xf numFmtId="0" fontId="6" fillId="3" borderId="18" xfId="0" applyFont="1" applyFill="1" applyBorder="1"/>
    <xf numFmtId="0" fontId="6" fillId="3" borderId="17" xfId="0" applyFont="1" applyFill="1" applyBorder="1" applyAlignment="1">
      <alignment horizontal="right"/>
    </xf>
    <xf numFmtId="0" fontId="31" fillId="3" borderId="0" xfId="0" applyFont="1" applyFill="1" applyAlignment="1" applyProtection="1">
      <alignment horizontal="left" vertical="center"/>
      <protection locked="0"/>
    </xf>
    <xf numFmtId="0" fontId="6" fillId="3" borderId="5" xfId="0" applyFont="1" applyFill="1" applyBorder="1" applyAlignment="1">
      <alignment horizontal="right"/>
    </xf>
    <xf numFmtId="0" fontId="10" fillId="3" borderId="5" xfId="0" applyFon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 applyProtection="1">
      <alignment vertical="center"/>
      <protection locked="0"/>
    </xf>
    <xf numFmtId="0" fontId="0" fillId="3" borderId="6" xfId="0" applyFill="1" applyBorder="1" applyAlignment="1" applyProtection="1">
      <alignment vertical="center"/>
      <protection locked="0"/>
    </xf>
    <xf numFmtId="0" fontId="6" fillId="3" borderId="5" xfId="0" applyFont="1" applyFill="1" applyBorder="1" applyAlignment="1" applyProtection="1">
      <alignment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vertical="center"/>
      <protection locked="0"/>
    </xf>
    <xf numFmtId="0" fontId="6" fillId="3" borderId="6" xfId="0" applyFont="1" applyFill="1" applyBorder="1"/>
    <xf numFmtId="0" fontId="0" fillId="3" borderId="15" xfId="0" applyFill="1" applyBorder="1"/>
    <xf numFmtId="14" fontId="8" fillId="4" borderId="1" xfId="0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169" fontId="19" fillId="4" borderId="1" xfId="0" applyNumberFormat="1" applyFont="1" applyFill="1" applyBorder="1" applyAlignment="1">
      <alignment horizontal="center" vertical="center"/>
    </xf>
    <xf numFmtId="2" fontId="36" fillId="4" borderId="13" xfId="0" applyNumberFormat="1" applyFont="1" applyFill="1" applyBorder="1" applyAlignment="1">
      <alignment horizontal="center" vertical="center"/>
    </xf>
    <xf numFmtId="2" fontId="36" fillId="4" borderId="15" xfId="0" applyNumberFormat="1" applyFont="1" applyFill="1" applyBorder="1" applyAlignment="1">
      <alignment horizontal="center" vertical="center"/>
    </xf>
    <xf numFmtId="2" fontId="40" fillId="4" borderId="1" xfId="0" applyNumberFormat="1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20" fillId="3" borderId="1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7" fillId="3" borderId="6" xfId="0" applyFont="1" applyFill="1" applyBorder="1" applyAlignment="1" applyProtection="1">
      <alignment horizontal="center" vertical="center"/>
      <protection locked="0"/>
    </xf>
    <xf numFmtId="0" fontId="19" fillId="4" borderId="13" xfId="0" applyFont="1" applyFill="1" applyBorder="1" applyAlignment="1">
      <alignment horizontal="center" vertical="center"/>
    </xf>
    <xf numFmtId="169" fontId="19" fillId="4" borderId="13" xfId="0" applyNumberFormat="1" applyFont="1" applyFill="1" applyBorder="1" applyAlignment="1">
      <alignment horizontal="center" vertical="center"/>
    </xf>
    <xf numFmtId="169" fontId="19" fillId="4" borderId="1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4" xfId="0" applyFill="1" applyBorder="1"/>
    <xf numFmtId="0" fontId="0" fillId="3" borderId="16" xfId="0" applyFill="1" applyBorder="1"/>
    <xf numFmtId="0" fontId="19" fillId="4" borderId="15" xfId="0" applyFont="1" applyFill="1" applyBorder="1" applyAlignment="1">
      <alignment horizontal="center" vertical="center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right" vertical="center" indent="1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19" fillId="3" borderId="8" xfId="0" applyFont="1" applyFill="1" applyBorder="1" applyAlignment="1" applyProtection="1">
      <alignment horizontal="center" vertical="center"/>
      <protection locked="0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19" fillId="3" borderId="9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3" borderId="61" xfId="0" applyFont="1" applyFill="1" applyBorder="1" applyAlignment="1">
      <alignment horizontal="center" vertical="center"/>
    </xf>
    <xf numFmtId="0" fontId="0" fillId="3" borderId="62" xfId="0" applyFill="1" applyBorder="1"/>
    <xf numFmtId="0" fontId="12" fillId="3" borderId="0" xfId="0" applyFont="1" applyFill="1"/>
    <xf numFmtId="0" fontId="27" fillId="3" borderId="0" xfId="0" applyFont="1" applyFill="1" applyAlignment="1" applyProtection="1">
      <alignment horizontal="left" vertical="center"/>
      <protection locked="0"/>
    </xf>
    <xf numFmtId="0" fontId="0" fillId="3" borderId="35" xfId="0" applyFill="1" applyBorder="1" applyAlignment="1" applyProtection="1">
      <alignment vertical="center"/>
      <protection locked="0"/>
    </xf>
    <xf numFmtId="0" fontId="0" fillId="3" borderId="63" xfId="0" applyFill="1" applyBorder="1" applyAlignment="1" applyProtection="1">
      <alignment vertical="center"/>
      <protection locked="0"/>
    </xf>
    <xf numFmtId="0" fontId="0" fillId="3" borderId="64" xfId="0" applyFill="1" applyBorder="1" applyAlignment="1" applyProtection="1">
      <alignment vertical="center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left" vertical="center"/>
      <protection locked="0"/>
    </xf>
    <xf numFmtId="171" fontId="19" fillId="4" borderId="1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5" fillId="5" borderId="5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>
      <alignment horizontal="center"/>
    </xf>
    <xf numFmtId="0" fontId="0" fillId="3" borderId="16" xfId="0" applyFill="1" applyBorder="1" applyAlignment="1">
      <alignment horizontal="center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0" fontId="17" fillId="3" borderId="5" xfId="0" applyFont="1" applyFill="1" applyBorder="1" applyAlignment="1">
      <alignment horizontal="center" vertic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32" fillId="4" borderId="15" xfId="0" applyFont="1" applyFill="1" applyBorder="1" applyAlignment="1">
      <alignment horizontal="center" vertical="center"/>
    </xf>
    <xf numFmtId="166" fontId="32" fillId="4" borderId="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 applyProtection="1">
      <alignment horizontal="center"/>
      <protection locked="0"/>
    </xf>
    <xf numFmtId="0" fontId="0" fillId="3" borderId="33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3" borderId="32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0" fillId="3" borderId="50" xfId="0" applyFill="1" applyBorder="1"/>
    <xf numFmtId="0" fontId="3" fillId="3" borderId="6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2" fillId="4" borderId="13" xfId="0" applyFont="1" applyFill="1" applyBorder="1" applyAlignment="1">
      <alignment horizontal="center" vertical="center"/>
    </xf>
    <xf numFmtId="9" fontId="32" fillId="4" borderId="13" xfId="0" applyNumberFormat="1" applyFont="1" applyFill="1" applyBorder="1" applyAlignment="1">
      <alignment horizontal="center" vertical="center"/>
    </xf>
    <xf numFmtId="0" fontId="0" fillId="3" borderId="32" xfId="0" applyFill="1" applyBorder="1"/>
    <xf numFmtId="0" fontId="3" fillId="3" borderId="5" xfId="0" applyFont="1" applyFill="1" applyBorder="1" applyAlignment="1">
      <alignment horizontal="right"/>
    </xf>
    <xf numFmtId="166" fontId="32" fillId="4" borderId="15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68" fontId="32" fillId="4" borderId="15" xfId="0" applyNumberFormat="1" applyFont="1" applyFill="1" applyBorder="1" applyAlignment="1">
      <alignment horizontal="center" vertical="center"/>
    </xf>
    <xf numFmtId="2" fontId="32" fillId="4" borderId="13" xfId="0" applyNumberFormat="1" applyFont="1" applyFill="1" applyBorder="1" applyAlignment="1">
      <alignment horizontal="center" vertical="center"/>
    </xf>
    <xf numFmtId="2" fontId="32" fillId="4" borderId="15" xfId="0" applyNumberFormat="1" applyFont="1" applyFill="1" applyBorder="1" applyAlignment="1">
      <alignment horizontal="center" vertical="center"/>
    </xf>
    <xf numFmtId="1" fontId="32" fillId="4" borderId="1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37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/>
    <xf numFmtId="0" fontId="3" fillId="0" borderId="0" xfId="0" applyFont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vertical="center"/>
      <protection locked="0"/>
    </xf>
    <xf numFmtId="0" fontId="3" fillId="3" borderId="14" xfId="0" applyFont="1" applyFill="1" applyBorder="1" applyAlignment="1" applyProtection="1">
      <alignment vertical="center"/>
      <protection locked="0"/>
    </xf>
    <xf numFmtId="0" fontId="3" fillId="3" borderId="16" xfId="0" applyFont="1" applyFill="1" applyBorder="1"/>
    <xf numFmtId="0" fontId="17" fillId="3" borderId="2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14" fillId="3" borderId="9" xfId="0" applyFont="1" applyFill="1" applyBorder="1" applyAlignment="1" applyProtection="1">
      <alignment vertical="center"/>
      <protection locked="0"/>
    </xf>
    <xf numFmtId="0" fontId="14" fillId="3" borderId="5" xfId="0" applyFont="1" applyFill="1" applyBorder="1"/>
    <xf numFmtId="0" fontId="14" fillId="3" borderId="0" xfId="0" applyFont="1" applyFill="1"/>
    <xf numFmtId="0" fontId="14" fillId="3" borderId="6" xfId="0" applyFont="1" applyFill="1" applyBorder="1"/>
    <xf numFmtId="0" fontId="14" fillId="3" borderId="5" xfId="0" applyFont="1" applyFill="1" applyBorder="1" applyAlignment="1" applyProtection="1">
      <alignment vertical="center"/>
      <protection locked="0"/>
    </xf>
    <xf numFmtId="0" fontId="14" fillId="3" borderId="6" xfId="0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1" fillId="3" borderId="17" xfId="0" applyFont="1" applyFill="1" applyBorder="1" applyAlignment="1" applyProtection="1">
      <alignment vertical="center"/>
      <protection locked="0"/>
    </xf>
    <xf numFmtId="0" fontId="61" fillId="3" borderId="18" xfId="0" applyFont="1" applyFill="1" applyBorder="1" applyAlignment="1" applyProtection="1">
      <alignment horizontal="center" vertical="center"/>
      <protection locked="0"/>
    </xf>
    <xf numFmtId="0" fontId="61" fillId="3" borderId="17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Alignment="1" applyProtection="1">
      <alignment horizontal="center" vertical="center"/>
      <protection locked="0"/>
    </xf>
    <xf numFmtId="0" fontId="14" fillId="3" borderId="6" xfId="0" applyFont="1" applyFill="1" applyBorder="1" applyAlignment="1" applyProtection="1">
      <alignment horizontal="center" vertical="center"/>
      <protection locked="0"/>
    </xf>
    <xf numFmtId="9" fontId="19" fillId="4" borderId="1" xfId="0" applyNumberFormat="1" applyFont="1" applyFill="1" applyBorder="1" applyAlignment="1">
      <alignment horizontal="center" vertical="center"/>
    </xf>
    <xf numFmtId="9" fontId="19" fillId="4" borderId="4" xfId="0" applyNumberFormat="1" applyFont="1" applyFill="1" applyBorder="1" applyAlignment="1">
      <alignment horizontal="center" vertical="center"/>
    </xf>
    <xf numFmtId="167" fontId="19" fillId="4" borderId="13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21" fillId="3" borderId="0" xfId="0" applyFont="1" applyFill="1" applyAlignment="1" applyProtection="1">
      <alignment horizontal="center"/>
      <protection locked="0"/>
    </xf>
    <xf numFmtId="0" fontId="14" fillId="3" borderId="5" xfId="0" applyFont="1" applyFill="1" applyBorder="1" applyAlignment="1">
      <alignment horizontal="right"/>
    </xf>
    <xf numFmtId="0" fontId="14" fillId="3" borderId="25" xfId="0" applyFont="1" applyFill="1" applyBorder="1"/>
    <xf numFmtId="0" fontId="14" fillId="3" borderId="32" xfId="0" applyFont="1" applyFill="1" applyBorder="1"/>
    <xf numFmtId="0" fontId="14" fillId="3" borderId="45" xfId="0" applyFont="1" applyFill="1" applyBorder="1"/>
    <xf numFmtId="0" fontId="36" fillId="4" borderId="13" xfId="0" applyFont="1" applyFill="1" applyBorder="1" applyAlignment="1">
      <alignment horizontal="center" vertical="center"/>
    </xf>
    <xf numFmtId="0" fontId="14" fillId="3" borderId="26" xfId="0" applyFont="1" applyFill="1" applyBorder="1"/>
    <xf numFmtId="0" fontId="14" fillId="3" borderId="27" xfId="0" applyFont="1" applyFill="1" applyBorder="1"/>
    <xf numFmtId="0" fontId="14" fillId="3" borderId="47" xfId="0" applyFont="1" applyFill="1" applyBorder="1"/>
    <xf numFmtId="166" fontId="19" fillId="4" borderId="1" xfId="0" applyNumberFormat="1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/>
    </xf>
    <xf numFmtId="166" fontId="19" fillId="4" borderId="71" xfId="0" applyNumberFormat="1" applyFont="1" applyFill="1" applyBorder="1" applyAlignment="1">
      <alignment horizontal="center" vertical="center"/>
    </xf>
    <xf numFmtId="166" fontId="19" fillId="4" borderId="24" xfId="0" applyNumberFormat="1" applyFont="1" applyFill="1" applyBorder="1" applyAlignment="1">
      <alignment horizontal="center" vertical="center"/>
    </xf>
    <xf numFmtId="0" fontId="14" fillId="3" borderId="50" xfId="0" applyFont="1" applyFill="1" applyBorder="1"/>
    <xf numFmtId="0" fontId="15" fillId="3" borderId="32" xfId="0" applyFont="1" applyFill="1" applyBorder="1"/>
    <xf numFmtId="0" fontId="14" fillId="3" borderId="72" xfId="0" applyFont="1" applyFill="1" applyBorder="1"/>
    <xf numFmtId="0" fontId="15" fillId="0" borderId="6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61" fillId="3" borderId="17" xfId="0" applyFont="1" applyFill="1" applyBorder="1" applyAlignment="1">
      <alignment horizontal="right"/>
    </xf>
    <xf numFmtId="0" fontId="61" fillId="3" borderId="0" xfId="0" applyFont="1" applyFill="1" applyAlignment="1">
      <alignment horizontal="center"/>
    </xf>
    <xf numFmtId="0" fontId="61" fillId="3" borderId="18" xfId="0" applyFont="1" applyFill="1" applyBorder="1"/>
    <xf numFmtId="0" fontId="61" fillId="3" borderId="17" xfId="0" applyFont="1" applyFill="1" applyBorder="1" applyAlignment="1" applyProtection="1">
      <alignment horizontal="left" vertical="center"/>
      <protection locked="0"/>
    </xf>
    <xf numFmtId="0" fontId="61" fillId="3" borderId="18" xfId="0" applyFont="1" applyFill="1" applyBorder="1" applyAlignment="1" applyProtection="1">
      <alignment horizontal="left" vertical="center"/>
      <protection locked="0"/>
    </xf>
    <xf numFmtId="0" fontId="14" fillId="3" borderId="17" xfId="0" applyFont="1" applyFill="1" applyBorder="1" applyAlignment="1" applyProtection="1">
      <alignment horizontal="left" vertical="center"/>
      <protection locked="0"/>
    </xf>
    <xf numFmtId="0" fontId="14" fillId="3" borderId="18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4" fillId="3" borderId="20" xfId="0" applyFont="1" applyFill="1" applyBorder="1" applyAlignment="1" applyProtection="1">
      <alignment vertical="center"/>
      <protection locked="0"/>
    </xf>
    <xf numFmtId="0" fontId="14" fillId="3" borderId="21" xfId="0" applyFont="1" applyFill="1" applyBorder="1"/>
    <xf numFmtId="0" fontId="14" fillId="3" borderId="22" xfId="0" applyFont="1" applyFill="1" applyBorder="1" applyAlignment="1" applyProtection="1">
      <alignment vertical="center"/>
      <protection locked="0"/>
    </xf>
    <xf numFmtId="172" fontId="19" fillId="4" borderId="13" xfId="0" applyNumberFormat="1" applyFont="1" applyFill="1" applyBorder="1" applyAlignment="1">
      <alignment horizontal="center" vertical="center"/>
    </xf>
    <xf numFmtId="10" fontId="19" fillId="4" borderId="1" xfId="0" applyNumberFormat="1" applyFont="1" applyFill="1" applyBorder="1" applyAlignment="1">
      <alignment horizontal="center" vertical="center"/>
    </xf>
    <xf numFmtId="0" fontId="17" fillId="3" borderId="11" xfId="0" applyFont="1" applyFill="1" applyBorder="1" applyAlignment="1" applyProtection="1">
      <alignment horizontal="center" vertical="center"/>
      <protection locked="0"/>
    </xf>
    <xf numFmtId="14" fontId="15" fillId="4" borderId="1" xfId="0" applyNumberFormat="1" applyFont="1" applyFill="1" applyBorder="1" applyAlignment="1">
      <alignment horizontal="center" vertical="center"/>
    </xf>
    <xf numFmtId="0" fontId="61" fillId="3" borderId="5" xfId="0" applyFont="1" applyFill="1" applyBorder="1" applyAlignment="1" applyProtection="1">
      <alignment horizontal="center" vertical="center"/>
      <protection locked="0"/>
    </xf>
    <xf numFmtId="0" fontId="61" fillId="3" borderId="0" xfId="0" applyFont="1" applyFill="1" applyAlignment="1" applyProtection="1">
      <alignment horizontal="center" vertical="center"/>
      <protection locked="0"/>
    </xf>
    <xf numFmtId="0" fontId="52" fillId="3" borderId="0" xfId="0" applyFont="1" applyFill="1" applyAlignment="1" applyProtection="1">
      <alignment horizontal="left" vertical="top"/>
      <protection locked="0"/>
    </xf>
    <xf numFmtId="0" fontId="52" fillId="3" borderId="0" xfId="0" applyFont="1" applyFill="1" applyAlignment="1" applyProtection="1">
      <alignment horizontal="center" vertical="top"/>
      <protection locked="0"/>
    </xf>
    <xf numFmtId="0" fontId="7" fillId="3" borderId="0" xfId="0" applyFont="1" applyFill="1" applyAlignment="1" applyProtection="1">
      <alignment horizontal="center" vertical="top"/>
      <protection locked="0"/>
    </xf>
    <xf numFmtId="0" fontId="61" fillId="3" borderId="6" xfId="0" applyFont="1" applyFill="1" applyBorder="1" applyAlignment="1" applyProtection="1">
      <alignment vertical="center"/>
      <protection locked="0"/>
    </xf>
    <xf numFmtId="0" fontId="65" fillId="3" borderId="5" xfId="0" applyFont="1" applyFill="1" applyBorder="1" applyAlignment="1">
      <alignment horizontal="center" vertical="center"/>
    </xf>
    <xf numFmtId="0" fontId="65" fillId="3" borderId="6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27" fillId="3" borderId="0" xfId="0" applyFont="1" applyFill="1" applyAlignment="1" applyProtection="1">
      <alignment horizontal="center" vertical="center"/>
      <protection locked="0"/>
    </xf>
    <xf numFmtId="0" fontId="14" fillId="3" borderId="28" xfId="0" applyFont="1" applyFill="1" applyBorder="1"/>
    <xf numFmtId="0" fontId="14" fillId="3" borderId="48" xfId="0" applyFont="1" applyFill="1" applyBorder="1"/>
    <xf numFmtId="0" fontId="14" fillId="3" borderId="5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3" borderId="30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18" xfId="0" applyFont="1" applyFill="1" applyBorder="1" applyAlignment="1" applyProtection="1">
      <alignment vertical="center"/>
      <protection locked="0"/>
    </xf>
    <xf numFmtId="0" fontId="3" fillId="3" borderId="20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/>
    <xf numFmtId="0" fontId="3" fillId="3" borderId="22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vertical="center"/>
      <protection locked="0"/>
    </xf>
    <xf numFmtId="0" fontId="35" fillId="0" borderId="1" xfId="0" applyFont="1" applyBorder="1" applyAlignment="1" applyProtection="1">
      <alignment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vertical="center"/>
      <protection locked="0"/>
    </xf>
    <xf numFmtId="0" fontId="35" fillId="0" borderId="2" xfId="0" applyFont="1" applyBorder="1" applyAlignment="1" applyProtection="1">
      <alignment vertical="center"/>
      <protection locked="0"/>
    </xf>
    <xf numFmtId="0" fontId="3" fillId="3" borderId="8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6" xfId="0" applyFont="1" applyFill="1" applyBorder="1"/>
    <xf numFmtId="0" fontId="3" fillId="2" borderId="55" xfId="0" applyFont="1" applyFill="1" applyBorder="1"/>
    <xf numFmtId="0" fontId="3" fillId="3" borderId="9" xfId="0" applyFont="1" applyFill="1" applyBorder="1"/>
    <xf numFmtId="0" fontId="3" fillId="2" borderId="57" xfId="0" applyFont="1" applyFill="1" applyBorder="1" applyAlignment="1">
      <alignment horizontal="center"/>
    </xf>
    <xf numFmtId="0" fontId="3" fillId="2" borderId="58" xfId="0" applyFont="1" applyFill="1" applyBorder="1"/>
    <xf numFmtId="0" fontId="3" fillId="2" borderId="44" xfId="0" applyFont="1" applyFill="1" applyBorder="1"/>
    <xf numFmtId="0" fontId="3" fillId="3" borderId="8" xfId="0" applyFont="1" applyFill="1" applyBorder="1" applyAlignment="1">
      <alignment horizontal="right"/>
    </xf>
    <xf numFmtId="0" fontId="3" fillId="3" borderId="15" xfId="0" applyFont="1" applyFill="1" applyBorder="1"/>
    <xf numFmtId="0" fontId="12" fillId="3" borderId="0" xfId="0" applyFont="1" applyFill="1" applyAlignment="1">
      <alignment vertical="top" wrapText="1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right" vertical="center"/>
      <protection locked="0"/>
    </xf>
    <xf numFmtId="0" fontId="12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4" fillId="2" borderId="0" xfId="0" applyFont="1" applyFill="1" applyAlignment="1">
      <alignment horizontal="center"/>
    </xf>
    <xf numFmtId="0" fontId="14" fillId="3" borderId="0" xfId="0" applyFont="1" applyFill="1" applyAlignment="1" applyProtection="1">
      <alignment horizontal="center" vertical="center"/>
      <protection locked="0"/>
    </xf>
    <xf numFmtId="0" fontId="48" fillId="5" borderId="1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/>
    </xf>
    <xf numFmtId="0" fontId="14" fillId="2" borderId="30" xfId="0" applyFont="1" applyFill="1" applyBorder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14" fillId="2" borderId="31" xfId="0" applyFont="1" applyFill="1" applyBorder="1"/>
    <xf numFmtId="0" fontId="14" fillId="2" borderId="30" xfId="0" applyFont="1" applyFill="1" applyBorder="1"/>
    <xf numFmtId="0" fontId="42" fillId="3" borderId="0" xfId="0" applyFont="1" applyFill="1" applyAlignment="1">
      <alignment horizontal="left" wrapText="1"/>
    </xf>
    <xf numFmtId="0" fontId="15" fillId="3" borderId="0" xfId="0" applyFont="1" applyFill="1" applyAlignment="1">
      <alignment horizontal="left" wrapText="1"/>
    </xf>
    <xf numFmtId="0" fontId="14" fillId="0" borderId="0" xfId="0" applyFont="1"/>
    <xf numFmtId="0" fontId="14" fillId="2" borderId="0" xfId="0" applyFont="1" applyFill="1"/>
    <xf numFmtId="0" fontId="14" fillId="0" borderId="0" xfId="0" applyFont="1" applyAlignment="1">
      <alignment horizontal="center"/>
    </xf>
    <xf numFmtId="0" fontId="14" fillId="3" borderId="5" xfId="0" applyFont="1" applyFill="1" applyBorder="1" applyAlignment="1" applyProtection="1">
      <alignment horizontal="left" vertical="center"/>
      <protection locked="0"/>
    </xf>
    <xf numFmtId="0" fontId="14" fillId="3" borderId="0" xfId="0" applyFont="1" applyFill="1" applyAlignment="1" applyProtection="1">
      <alignment horizontal="left" vertical="center"/>
      <protection locked="0"/>
    </xf>
    <xf numFmtId="0" fontId="14" fillId="3" borderId="6" xfId="0" applyFont="1" applyFill="1" applyBorder="1" applyAlignment="1" applyProtection="1">
      <alignment horizontal="left" vertical="center"/>
      <protection locked="0"/>
    </xf>
    <xf numFmtId="0" fontId="14" fillId="3" borderId="14" xfId="0" applyFont="1" applyFill="1" applyBorder="1"/>
    <xf numFmtId="0" fontId="14" fillId="3" borderId="16" xfId="0" applyFont="1" applyFill="1" applyBorder="1"/>
    <xf numFmtId="0" fontId="14" fillId="3" borderId="15" xfId="0" applyFont="1" applyFill="1" applyBorder="1"/>
    <xf numFmtId="0" fontId="4" fillId="0" borderId="11" xfId="0" applyFon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left" vertical="top"/>
    </xf>
    <xf numFmtId="0" fontId="15" fillId="3" borderId="0" xfId="0" applyFont="1" applyFill="1" applyAlignment="1">
      <alignment vertical="top" wrapText="1"/>
    </xf>
    <xf numFmtId="0" fontId="0" fillId="3" borderId="33" xfId="0" applyFill="1" applyBorder="1"/>
    <xf numFmtId="0" fontId="6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15" fillId="0" borderId="5" xfId="0" applyFont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164" fontId="15" fillId="3" borderId="24" xfId="0" applyNumberFormat="1" applyFont="1" applyFill="1" applyBorder="1" applyAlignment="1">
      <alignment horizontal="center" vertical="center"/>
    </xf>
    <xf numFmtId="0" fontId="24" fillId="3" borderId="0" xfId="0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12" fillId="3" borderId="6" xfId="0" applyFont="1" applyFill="1" applyBorder="1" applyAlignment="1" applyProtection="1">
      <alignment wrapText="1"/>
      <protection locked="0"/>
    </xf>
    <xf numFmtId="0" fontId="69" fillId="3" borderId="1" xfId="0" applyFont="1" applyFill="1" applyBorder="1" applyAlignment="1" applyProtection="1">
      <alignment horizontal="center" vertical="center"/>
      <protection locked="0"/>
    </xf>
    <xf numFmtId="170" fontId="60" fillId="3" borderId="0" xfId="0" applyNumberFormat="1" applyFont="1" applyFill="1" applyAlignment="1" applyProtection="1">
      <alignment horizontal="center" vertical="center"/>
      <protection locked="0"/>
    </xf>
    <xf numFmtId="0" fontId="19" fillId="3" borderId="6" xfId="0" applyFont="1" applyFill="1" applyBorder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/>
      <protection locked="0"/>
    </xf>
    <xf numFmtId="170" fontId="38" fillId="3" borderId="0" xfId="0" applyNumberFormat="1" applyFont="1" applyFill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right" vertical="top"/>
      <protection locked="0"/>
    </xf>
    <xf numFmtId="169" fontId="19" fillId="3" borderId="0" xfId="0" applyNumberFormat="1" applyFont="1" applyFill="1" applyAlignment="1">
      <alignment horizontal="center" vertical="center"/>
    </xf>
    <xf numFmtId="171" fontId="19" fillId="3" borderId="0" xfId="0" applyNumberFormat="1" applyFont="1" applyFill="1" applyAlignment="1">
      <alignment horizontal="center" vertical="center"/>
    </xf>
    <xf numFmtId="1" fontId="19" fillId="4" borderId="4" xfId="0" applyNumberFormat="1" applyFont="1" applyFill="1" applyBorder="1" applyAlignment="1">
      <alignment horizontal="center" vertical="center"/>
    </xf>
    <xf numFmtId="166" fontId="19" fillId="3" borderId="0" xfId="0" applyNumberFormat="1" applyFont="1" applyFill="1" applyAlignment="1">
      <alignment horizontal="center" vertical="center"/>
    </xf>
    <xf numFmtId="1" fontId="19" fillId="4" borderId="13" xfId="0" applyNumberFormat="1" applyFont="1" applyFill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166" fontId="19" fillId="4" borderId="1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6" xfId="0" applyBorder="1" applyAlignment="1" applyProtection="1">
      <alignment vertical="center"/>
      <protection locked="0"/>
    </xf>
    <xf numFmtId="1" fontId="32" fillId="4" borderId="1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86" fillId="3" borderId="7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170" fontId="60" fillId="4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19" fillId="4" borderId="1" xfId="0" applyFont="1" applyFill="1" applyBorder="1" applyAlignment="1">
      <alignment horizontal="center" vertical="center"/>
    </xf>
    <xf numFmtId="0" fontId="14" fillId="3" borderId="0" xfId="0" applyFont="1" applyFill="1" applyAlignment="1" applyProtection="1">
      <alignment horizontal="center" vertical="center"/>
      <protection locked="0"/>
    </xf>
    <xf numFmtId="0" fontId="17" fillId="3" borderId="0" xfId="0" applyFont="1" applyFill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 applyProtection="1">
      <alignment horizontal="center"/>
      <protection locked="0"/>
    </xf>
    <xf numFmtId="169" fontId="36" fillId="4" borderId="1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3" borderId="6" xfId="0" applyFont="1" applyFill="1" applyBorder="1" applyAlignment="1" applyProtection="1">
      <alignment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88" fillId="4" borderId="1" xfId="0" applyFont="1" applyFill="1" applyBorder="1" applyAlignment="1" applyProtection="1">
      <alignment horizontal="center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3" borderId="32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vertical="center"/>
      <protection locked="0"/>
    </xf>
    <xf numFmtId="1" fontId="32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6" xfId="0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>
      <alignment horizontal="right"/>
    </xf>
    <xf numFmtId="168" fontId="36" fillId="4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93" fillId="3" borderId="0" xfId="0" applyFont="1" applyFill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9" fontId="36" fillId="4" borderId="13" xfId="0" applyNumberFormat="1" applyFont="1" applyFill="1" applyBorder="1" applyAlignment="1">
      <alignment horizontal="center" vertical="center"/>
    </xf>
    <xf numFmtId="170" fontId="36" fillId="4" borderId="13" xfId="0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168" fontId="36" fillId="4" borderId="13" xfId="0" applyNumberFormat="1" applyFont="1" applyFill="1" applyBorder="1" applyAlignment="1">
      <alignment horizontal="center" vertical="center"/>
    </xf>
    <xf numFmtId="168" fontId="36" fillId="4" borderId="15" xfId="0" applyNumberFormat="1" applyFont="1" applyFill="1" applyBorder="1" applyAlignment="1">
      <alignment horizontal="center" vertical="center"/>
    </xf>
    <xf numFmtId="1" fontId="36" fillId="4" borderId="15" xfId="0" applyNumberFormat="1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66" fontId="36" fillId="4" borderId="1" xfId="0" applyNumberFormat="1" applyFont="1" applyFill="1" applyBorder="1" applyAlignment="1">
      <alignment horizontal="center" vertical="center"/>
    </xf>
    <xf numFmtId="0" fontId="36" fillId="3" borderId="3" xfId="0" applyFont="1" applyFill="1" applyBorder="1" applyAlignment="1">
      <alignment horizontal="center" vertical="center"/>
    </xf>
    <xf numFmtId="169" fontId="36" fillId="4" borderId="15" xfId="0" applyNumberFormat="1" applyFont="1" applyFill="1" applyBorder="1" applyAlignment="1">
      <alignment horizontal="center" vertical="center"/>
    </xf>
    <xf numFmtId="168" fontId="36" fillId="3" borderId="0" xfId="0" applyNumberFormat="1" applyFont="1" applyFill="1" applyAlignment="1">
      <alignment horizontal="center" vertical="center"/>
    </xf>
    <xf numFmtId="1" fontId="36" fillId="4" borderId="2" xfId="0" applyNumberFormat="1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1" fillId="3" borderId="0" xfId="0" applyFont="1" applyFill="1"/>
    <xf numFmtId="0" fontId="20" fillId="5" borderId="23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19" fillId="5" borderId="7" xfId="0" applyFont="1" applyFill="1" applyBorder="1" applyAlignment="1">
      <alignment vertical="center"/>
    </xf>
    <xf numFmtId="0" fontId="32" fillId="5" borderId="7" xfId="0" applyFont="1" applyFill="1" applyBorder="1" applyAlignment="1">
      <alignment horizontal="left" vertical="center" indent="1"/>
    </xf>
    <xf numFmtId="0" fontId="32" fillId="5" borderId="7" xfId="0" applyFont="1" applyFill="1" applyBorder="1" applyAlignment="1">
      <alignment vertical="center" wrapText="1"/>
    </xf>
    <xf numFmtId="0" fontId="32" fillId="5" borderId="24" xfId="0" applyFont="1" applyFill="1" applyBorder="1" applyAlignment="1">
      <alignment vertical="center" wrapText="1"/>
    </xf>
    <xf numFmtId="0" fontId="1" fillId="3" borderId="5" xfId="0" applyFont="1" applyFill="1" applyBorder="1" applyAlignment="1" applyProtection="1">
      <alignment vertical="center"/>
      <protection locked="0"/>
    </xf>
    <xf numFmtId="0" fontId="20" fillId="5" borderId="14" xfId="0" applyFont="1" applyFill="1" applyBorder="1" applyAlignment="1">
      <alignment vertical="center"/>
    </xf>
    <xf numFmtId="0" fontId="20" fillId="5" borderId="16" xfId="0" applyFont="1" applyFill="1" applyBorder="1" applyAlignment="1">
      <alignment vertical="center"/>
    </xf>
    <xf numFmtId="0" fontId="19" fillId="5" borderId="16" xfId="0" applyFont="1" applyFill="1" applyBorder="1" applyAlignment="1">
      <alignment vertical="center"/>
    </xf>
    <xf numFmtId="0" fontId="32" fillId="5" borderId="16" xfId="0" applyFont="1" applyFill="1" applyBorder="1" applyAlignment="1">
      <alignment vertical="center" wrapText="1"/>
    </xf>
    <xf numFmtId="0" fontId="32" fillId="5" borderId="15" xfId="0" applyFont="1" applyFill="1" applyBorder="1" applyAlignment="1">
      <alignment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vertical="center"/>
      <protection locked="0"/>
    </xf>
    <xf numFmtId="0" fontId="1" fillId="3" borderId="16" xfId="0" applyFont="1" applyFill="1" applyBorder="1"/>
    <xf numFmtId="9" fontId="36" fillId="4" borderId="13" xfId="1" applyFont="1" applyFill="1" applyBorder="1" applyAlignment="1">
      <alignment horizontal="center" vertical="center"/>
    </xf>
    <xf numFmtId="14" fontId="9" fillId="4" borderId="2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right" vertical="center"/>
      <protection locked="0"/>
    </xf>
    <xf numFmtId="0" fontId="6" fillId="3" borderId="0" xfId="0" applyFont="1" applyFill="1" applyAlignment="1" applyProtection="1">
      <alignment horizontal="right" vertical="center" indent="1"/>
      <protection locked="0"/>
    </xf>
    <xf numFmtId="0" fontId="21" fillId="3" borderId="25" xfId="0" applyFont="1" applyFill="1" applyBorder="1" applyAlignment="1" applyProtection="1">
      <alignment horizontal="center" vertical="center"/>
      <protection locked="0"/>
    </xf>
    <xf numFmtId="0" fontId="93" fillId="4" borderId="1" xfId="0" applyFont="1" applyFill="1" applyBorder="1" applyAlignment="1">
      <alignment horizontal="center" vertical="center"/>
    </xf>
    <xf numFmtId="0" fontId="93" fillId="4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28" xfId="0" applyFill="1" applyBorder="1"/>
    <xf numFmtId="0" fontId="15" fillId="3" borderId="0" xfId="0" applyFont="1" applyFill="1"/>
    <xf numFmtId="0" fontId="0" fillId="3" borderId="29" xfId="0" applyFill="1" applyBorder="1"/>
    <xf numFmtId="0" fontId="12" fillId="3" borderId="5" xfId="0" applyFont="1" applyFill="1" applyBorder="1" applyAlignment="1">
      <alignment vertical="center"/>
    </xf>
    <xf numFmtId="0" fontId="38" fillId="3" borderId="0" xfId="0" applyFont="1" applyFill="1" applyAlignment="1">
      <alignment horizontal="center"/>
    </xf>
    <xf numFmtId="0" fontId="6" fillId="3" borderId="17" xfId="0" applyFont="1" applyFill="1" applyBorder="1" applyAlignment="1" applyProtection="1">
      <alignment horizontal="left" vertical="center"/>
      <protection locked="0"/>
    </xf>
    <xf numFmtId="0" fontId="6" fillId="3" borderId="18" xfId="0" applyFont="1" applyFill="1" applyBorder="1" applyAlignment="1" applyProtection="1">
      <alignment horizontal="left" vertical="center"/>
      <protection locked="0"/>
    </xf>
    <xf numFmtId="0" fontId="10" fillId="3" borderId="17" xfId="0" applyFont="1" applyFill="1" applyBorder="1" applyAlignment="1" applyProtection="1">
      <alignment horizontal="left" vertical="center"/>
      <protection locked="0"/>
    </xf>
    <xf numFmtId="0" fontId="1" fillId="3" borderId="1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3" borderId="17" xfId="0" applyFont="1" applyFill="1" applyBorder="1" applyAlignment="1" applyProtection="1">
      <alignment horizontal="left" vertical="center"/>
      <protection locked="0"/>
    </xf>
    <xf numFmtId="0" fontId="1" fillId="3" borderId="20" xfId="0" applyFont="1" applyFill="1" applyBorder="1" applyAlignment="1" applyProtection="1">
      <alignment vertical="center"/>
      <protection locked="0"/>
    </xf>
    <xf numFmtId="0" fontId="1" fillId="3" borderId="21" xfId="0" applyFont="1" applyFill="1" applyBorder="1"/>
    <xf numFmtId="0" fontId="1" fillId="3" borderId="22" xfId="0" applyFont="1" applyFill="1" applyBorder="1" applyAlignment="1" applyProtection="1">
      <alignment vertical="center"/>
      <protection locked="0"/>
    </xf>
    <xf numFmtId="2" fontId="32" fillId="4" borderId="1" xfId="0" applyNumberFormat="1" applyFont="1" applyFill="1" applyBorder="1" applyAlignment="1">
      <alignment horizontal="center" vertical="center"/>
    </xf>
    <xf numFmtId="169" fontId="36" fillId="4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83" fillId="3" borderId="16" xfId="0" applyFont="1" applyFill="1" applyBorder="1" applyAlignment="1">
      <alignment horizontal="center" vertical="center" wrapText="1"/>
    </xf>
    <xf numFmtId="0" fontId="84" fillId="4" borderId="1" xfId="0" applyFont="1" applyFill="1" applyBorder="1" applyAlignment="1" applyProtection="1">
      <alignment horizontal="left" vertical="top" wrapText="1"/>
      <protection locked="0"/>
    </xf>
    <xf numFmtId="0" fontId="32" fillId="4" borderId="1" xfId="0" applyFont="1" applyFill="1" applyBorder="1" applyAlignment="1" applyProtection="1">
      <alignment horizontal="left" vertical="top" wrapText="1"/>
      <protection locked="0"/>
    </xf>
    <xf numFmtId="0" fontId="17" fillId="3" borderId="0" xfId="0" applyFont="1" applyFill="1" applyAlignment="1">
      <alignment horizontal="right" vertical="center"/>
    </xf>
    <xf numFmtId="0" fontId="17" fillId="3" borderId="6" xfId="0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2" fillId="2" borderId="78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9" fontId="19" fillId="4" borderId="2" xfId="0" applyNumberFormat="1" applyFont="1" applyFill="1" applyBorder="1" applyAlignment="1">
      <alignment horizontal="center" vertical="center"/>
    </xf>
    <xf numFmtId="9" fontId="19" fillId="4" borderId="3" xfId="0" applyNumberFormat="1" applyFont="1" applyFill="1" applyBorder="1" applyAlignment="1">
      <alignment horizontal="center" vertical="center"/>
    </xf>
    <xf numFmtId="9" fontId="19" fillId="4" borderId="4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center" vertical="center"/>
    </xf>
    <xf numFmtId="0" fontId="82" fillId="2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" fontId="19" fillId="4" borderId="2" xfId="0" applyNumberFormat="1" applyFont="1" applyFill="1" applyBorder="1" applyAlignment="1">
      <alignment horizontal="center" vertical="center"/>
    </xf>
    <xf numFmtId="1" fontId="19" fillId="4" borderId="3" xfId="0" applyNumberFormat="1" applyFont="1" applyFill="1" applyBorder="1" applyAlignment="1">
      <alignment horizontal="center" vertical="center"/>
    </xf>
    <xf numFmtId="1" fontId="19" fillId="4" borderId="4" xfId="0" applyNumberFormat="1" applyFont="1" applyFill="1" applyBorder="1" applyAlignment="1">
      <alignment horizontal="center" vertical="center"/>
    </xf>
    <xf numFmtId="0" fontId="70" fillId="3" borderId="0" xfId="0" applyFont="1" applyFill="1" applyAlignment="1">
      <alignment horizontal="right" vertical="center"/>
    </xf>
    <xf numFmtId="0" fontId="70" fillId="3" borderId="6" xfId="0" applyFont="1" applyFill="1" applyBorder="1" applyAlignment="1">
      <alignment horizontal="right" vertical="center"/>
    </xf>
    <xf numFmtId="0" fontId="17" fillId="3" borderId="5" xfId="0" applyFont="1" applyFill="1" applyBorder="1" applyAlignment="1">
      <alignment horizontal="right" vertical="center"/>
    </xf>
    <xf numFmtId="0" fontId="54" fillId="3" borderId="0" xfId="0" applyFont="1" applyFill="1" applyAlignment="1">
      <alignment horizontal="right" vertical="center"/>
    </xf>
    <xf numFmtId="0" fontId="54" fillId="3" borderId="6" xfId="0" applyFont="1" applyFill="1" applyBorder="1" applyAlignment="1">
      <alignment horizontal="right" vertical="center"/>
    </xf>
    <xf numFmtId="170" fontId="87" fillId="4" borderId="2" xfId="0" applyNumberFormat="1" applyFont="1" applyFill="1" applyBorder="1" applyAlignment="1" applyProtection="1">
      <alignment horizontal="center" vertical="center"/>
      <protection locked="0"/>
    </xf>
    <xf numFmtId="170" fontId="87" fillId="4" borderId="3" xfId="0" applyNumberFormat="1" applyFont="1" applyFill="1" applyBorder="1" applyAlignment="1" applyProtection="1">
      <alignment horizontal="center" vertical="center"/>
      <protection locked="0"/>
    </xf>
    <xf numFmtId="170" fontId="87" fillId="4" borderId="4" xfId="0" applyNumberFormat="1" applyFont="1" applyFill="1" applyBorder="1" applyAlignment="1" applyProtection="1">
      <alignment horizontal="center" vertical="center"/>
      <protection locked="0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166" fontId="19" fillId="4" borderId="2" xfId="0" applyNumberFormat="1" applyFont="1" applyFill="1" applyBorder="1" applyAlignment="1">
      <alignment horizontal="center" vertical="center"/>
    </xf>
    <xf numFmtId="166" fontId="19" fillId="4" borderId="3" xfId="0" applyNumberFormat="1" applyFont="1" applyFill="1" applyBorder="1" applyAlignment="1">
      <alignment horizontal="center" vertical="center"/>
    </xf>
    <xf numFmtId="166" fontId="19" fillId="4" borderId="4" xfId="0" applyNumberFormat="1" applyFont="1" applyFill="1" applyBorder="1" applyAlignment="1">
      <alignment horizontal="center" vertical="center"/>
    </xf>
    <xf numFmtId="0" fontId="69" fillId="0" borderId="2" xfId="0" applyFont="1" applyBorder="1" applyAlignment="1" applyProtection="1">
      <alignment horizontal="center" vertical="center"/>
      <protection locked="0"/>
    </xf>
    <xf numFmtId="0" fontId="69" fillId="0" borderId="3" xfId="0" applyFont="1" applyBorder="1" applyAlignment="1" applyProtection="1">
      <alignment horizontal="center" vertical="center"/>
      <protection locked="0"/>
    </xf>
    <xf numFmtId="0" fontId="69" fillId="0" borderId="4" xfId="0" applyFont="1" applyBorder="1" applyAlignment="1" applyProtection="1">
      <alignment horizontal="center" vertical="center"/>
      <protection locked="0"/>
    </xf>
    <xf numFmtId="0" fontId="12" fillId="3" borderId="0" xfId="0" applyFont="1" applyFill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170" fontId="60" fillId="4" borderId="2" xfId="0" applyNumberFormat="1" applyFont="1" applyFill="1" applyBorder="1" applyAlignment="1" applyProtection="1">
      <alignment horizontal="center" vertical="center"/>
      <protection locked="0"/>
    </xf>
    <xf numFmtId="170" fontId="60" fillId="4" borderId="3" xfId="0" applyNumberFormat="1" applyFont="1" applyFill="1" applyBorder="1" applyAlignment="1" applyProtection="1">
      <alignment horizontal="center" vertical="center"/>
      <protection locked="0"/>
    </xf>
    <xf numFmtId="170" fontId="60" fillId="4" borderId="4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right" vertical="center" wrapText="1"/>
      <protection locked="0"/>
    </xf>
    <xf numFmtId="0" fontId="2" fillId="2" borderId="33" xfId="0" applyFont="1" applyFill="1" applyBorder="1" applyAlignment="1" applyProtection="1">
      <alignment horizontal="center" vertical="center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" fillId="2" borderId="27" xfId="0" applyFont="1" applyFill="1" applyBorder="1" applyAlignment="1" applyProtection="1">
      <alignment horizontal="center" vertical="center"/>
      <protection locked="0"/>
    </xf>
    <xf numFmtId="0" fontId="17" fillId="3" borderId="2" xfId="0" applyFont="1" applyFill="1" applyBorder="1" applyAlignment="1" applyProtection="1">
      <alignment horizontal="center"/>
      <protection locked="0"/>
    </xf>
    <xf numFmtId="0" fontId="17" fillId="3" borderId="3" xfId="0" applyFont="1" applyFill="1" applyBorder="1" applyAlignment="1" applyProtection="1">
      <alignment horizontal="center"/>
      <protection locked="0"/>
    </xf>
    <xf numFmtId="0" fontId="17" fillId="3" borderId="4" xfId="0" applyFont="1" applyFill="1" applyBorder="1" applyAlignment="1" applyProtection="1">
      <alignment horizontal="center"/>
      <protection locked="0"/>
    </xf>
    <xf numFmtId="0" fontId="17" fillId="3" borderId="11" xfId="0" applyFont="1" applyFill="1" applyBorder="1" applyAlignment="1" applyProtection="1">
      <alignment horizontal="center"/>
      <protection locked="0"/>
    </xf>
    <xf numFmtId="0" fontId="17" fillId="3" borderId="37" xfId="0" applyFont="1" applyFill="1" applyBorder="1" applyAlignment="1" applyProtection="1">
      <alignment horizontal="center"/>
      <protection locked="0"/>
    </xf>
    <xf numFmtId="0" fontId="17" fillId="3" borderId="38" xfId="0" applyFont="1" applyFill="1" applyBorder="1" applyAlignment="1" applyProtection="1">
      <alignment horizontal="center"/>
      <protection locked="0"/>
    </xf>
    <xf numFmtId="0" fontId="15" fillId="4" borderId="2" xfId="0" applyFont="1" applyFill="1" applyBorder="1" applyAlignment="1" applyProtection="1">
      <alignment horizontal="center" vertical="center"/>
      <protection locked="0"/>
    </xf>
    <xf numFmtId="0" fontId="15" fillId="4" borderId="3" xfId="0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164" fontId="15" fillId="4" borderId="2" xfId="0" applyNumberFormat="1" applyFont="1" applyFill="1" applyBorder="1" applyAlignment="1">
      <alignment horizontal="center" vertical="center"/>
    </xf>
    <xf numFmtId="164" fontId="15" fillId="4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8" fillId="4" borderId="2" xfId="0" applyNumberFormat="1" applyFont="1" applyFill="1" applyBorder="1" applyAlignment="1" applyProtection="1">
      <alignment horizontal="center" vertical="center"/>
      <protection locked="0"/>
    </xf>
    <xf numFmtId="164" fontId="8" fillId="4" borderId="4" xfId="0" applyNumberFormat="1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49" fontId="90" fillId="3" borderId="0" xfId="0" applyNumberFormat="1" applyFont="1" applyFill="1" applyAlignment="1">
      <alignment horizontal="center" vertical="center" readingOrder="1"/>
    </xf>
    <xf numFmtId="49" fontId="90" fillId="3" borderId="6" xfId="0" applyNumberFormat="1" applyFont="1" applyFill="1" applyBorder="1" applyAlignment="1">
      <alignment horizontal="center" vertical="center" readingOrder="1"/>
    </xf>
    <xf numFmtId="0" fontId="0" fillId="3" borderId="0" xfId="0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readingOrder="1"/>
    </xf>
    <xf numFmtId="49" fontId="4" fillId="3" borderId="6" xfId="0" applyNumberFormat="1" applyFont="1" applyFill="1" applyBorder="1" applyAlignment="1">
      <alignment horizontal="center" vertical="center" readingOrder="1"/>
    </xf>
    <xf numFmtId="0" fontId="36" fillId="4" borderId="2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104" fillId="3" borderId="0" xfId="0" applyFont="1" applyFill="1" applyAlignment="1" applyProtection="1">
      <alignment horizontal="center" vertical="center"/>
      <protection locked="0"/>
    </xf>
    <xf numFmtId="0" fontId="104" fillId="3" borderId="6" xfId="0" applyFont="1" applyFill="1" applyBorder="1" applyAlignment="1" applyProtection="1">
      <alignment horizontal="center" vertical="center"/>
      <protection locked="0"/>
    </xf>
    <xf numFmtId="49" fontId="36" fillId="4" borderId="2" xfId="0" applyNumberFormat="1" applyFont="1" applyFill="1" applyBorder="1" applyAlignment="1">
      <alignment horizontal="center" vertical="center"/>
    </xf>
    <xf numFmtId="49" fontId="36" fillId="4" borderId="3" xfId="0" applyNumberFormat="1" applyFont="1" applyFill="1" applyBorder="1" applyAlignment="1">
      <alignment horizontal="center" vertical="center"/>
    </xf>
    <xf numFmtId="49" fontId="36" fillId="4" borderId="4" xfId="0" applyNumberFormat="1" applyFont="1" applyFill="1" applyBorder="1" applyAlignment="1">
      <alignment horizontal="center" vertical="center"/>
    </xf>
    <xf numFmtId="49" fontId="91" fillId="3" borderId="0" xfId="0" applyNumberFormat="1" applyFont="1" applyFill="1" applyAlignment="1">
      <alignment horizontal="center" vertical="center" readingOrder="1"/>
    </xf>
    <xf numFmtId="49" fontId="91" fillId="3" borderId="6" xfId="0" applyNumberFormat="1" applyFont="1" applyFill="1" applyBorder="1" applyAlignment="1">
      <alignment horizontal="center" vertical="center" readingOrder="1"/>
    </xf>
    <xf numFmtId="0" fontId="12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94" fillId="3" borderId="0" xfId="0" applyFont="1" applyFill="1" applyAlignment="1" applyProtection="1">
      <alignment horizontal="center" vertical="center"/>
      <protection locked="0"/>
    </xf>
    <xf numFmtId="0" fontId="94" fillId="3" borderId="6" xfId="0" applyFont="1" applyFill="1" applyBorder="1" applyAlignment="1" applyProtection="1">
      <alignment horizontal="center" vertical="center"/>
      <protection locked="0"/>
    </xf>
    <xf numFmtId="169" fontId="36" fillId="4" borderId="2" xfId="0" applyNumberFormat="1" applyFont="1" applyFill="1" applyBorder="1" applyAlignment="1">
      <alignment horizontal="center" vertical="center"/>
    </xf>
    <xf numFmtId="169" fontId="36" fillId="4" borderId="3" xfId="0" applyNumberFormat="1" applyFont="1" applyFill="1" applyBorder="1" applyAlignment="1">
      <alignment horizontal="center" vertical="center"/>
    </xf>
    <xf numFmtId="169" fontId="36" fillId="4" borderId="4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 applyProtection="1">
      <alignment horizontal="right" vertical="center"/>
      <protection locked="0"/>
    </xf>
    <xf numFmtId="0" fontId="5" fillId="3" borderId="15" xfId="0" applyFont="1" applyFill="1" applyBorder="1" applyAlignment="1" applyProtection="1">
      <alignment horizontal="right" vertical="center"/>
      <protection locked="0"/>
    </xf>
    <xf numFmtId="0" fontId="60" fillId="5" borderId="22" xfId="0" applyFont="1" applyFill="1" applyBorder="1" applyAlignment="1" applyProtection="1">
      <alignment horizontal="center" vertical="center"/>
      <protection locked="0"/>
    </xf>
    <xf numFmtId="0" fontId="60" fillId="5" borderId="87" xfId="0" applyFont="1" applyFill="1" applyBorder="1" applyAlignment="1" applyProtection="1">
      <alignment horizontal="center" vertical="center"/>
      <protection locked="0"/>
    </xf>
    <xf numFmtId="0" fontId="60" fillId="5" borderId="88" xfId="0" applyFont="1" applyFill="1" applyBorder="1" applyAlignment="1" applyProtection="1">
      <alignment horizontal="center" vertical="center"/>
      <protection locked="0"/>
    </xf>
    <xf numFmtId="0" fontId="0" fillId="3" borderId="6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97" fillId="3" borderId="0" xfId="0" applyFont="1" applyFill="1" applyAlignment="1" applyProtection="1">
      <alignment horizontal="center" vertical="center"/>
      <protection locked="0"/>
    </xf>
    <xf numFmtId="0" fontId="97" fillId="3" borderId="6" xfId="0" applyFont="1" applyFill="1" applyBorder="1" applyAlignment="1" applyProtection="1">
      <alignment horizontal="center" vertical="center"/>
      <protection locked="0"/>
    </xf>
    <xf numFmtId="0" fontId="100" fillId="3" borderId="0" xfId="0" applyFont="1" applyFill="1" applyAlignment="1" applyProtection="1">
      <alignment horizontal="center" vertical="center"/>
      <protection locked="0"/>
    </xf>
    <xf numFmtId="0" fontId="100" fillId="3" borderId="6" xfId="0" applyFont="1" applyFill="1" applyBorder="1" applyAlignment="1" applyProtection="1">
      <alignment horizontal="center" vertical="center"/>
      <protection locked="0"/>
    </xf>
    <xf numFmtId="9" fontId="36" fillId="4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 applyProtection="1">
      <alignment horizontal="left" vertical="center"/>
      <protection locked="0"/>
    </xf>
    <xf numFmtId="0" fontId="93" fillId="4" borderId="2" xfId="0" applyFont="1" applyFill="1" applyBorder="1" applyAlignment="1">
      <alignment horizontal="center" vertical="center"/>
    </xf>
    <xf numFmtId="0" fontId="93" fillId="4" borderId="3" xfId="0" applyFont="1" applyFill="1" applyBorder="1" applyAlignment="1">
      <alignment horizontal="center" vertical="center"/>
    </xf>
    <xf numFmtId="0" fontId="93" fillId="4" borderId="4" xfId="0" applyFont="1" applyFill="1" applyBorder="1" applyAlignment="1">
      <alignment horizontal="center" vertical="center"/>
    </xf>
    <xf numFmtId="0" fontId="103" fillId="3" borderId="0" xfId="0" applyFont="1" applyFill="1" applyAlignment="1">
      <alignment horizontal="center" vertical="center"/>
    </xf>
    <xf numFmtId="1" fontId="36" fillId="4" borderId="2" xfId="0" applyNumberFormat="1" applyFont="1" applyFill="1" applyBorder="1" applyAlignment="1">
      <alignment horizontal="center" vertical="center"/>
    </xf>
    <xf numFmtId="1" fontId="36" fillId="4" borderId="3" xfId="0" applyNumberFormat="1" applyFont="1" applyFill="1" applyBorder="1" applyAlignment="1">
      <alignment horizontal="center" vertical="center"/>
    </xf>
    <xf numFmtId="1" fontId="36" fillId="4" borderId="4" xfId="0" applyNumberFormat="1" applyFont="1" applyFill="1" applyBorder="1" applyAlignment="1">
      <alignment horizontal="center" vertical="center"/>
    </xf>
    <xf numFmtId="0" fontId="41" fillId="3" borderId="1" xfId="0" applyFont="1" applyFill="1" applyBorder="1" applyAlignment="1" applyProtection="1">
      <alignment horizontal="left" vertical="center"/>
      <protection locked="0"/>
    </xf>
    <xf numFmtId="0" fontId="24" fillId="3" borderId="14" xfId="0" applyFont="1" applyFill="1" applyBorder="1" applyAlignment="1" applyProtection="1">
      <alignment horizontal="center" vertical="center"/>
      <protection locked="0"/>
    </xf>
    <xf numFmtId="0" fontId="24" fillId="3" borderId="15" xfId="0" applyFont="1" applyFill="1" applyBorder="1" applyAlignment="1" applyProtection="1">
      <alignment horizontal="center" vertical="center"/>
      <protection locked="0"/>
    </xf>
    <xf numFmtId="0" fontId="24" fillId="3" borderId="83" xfId="0" applyFont="1" applyFill="1" applyBorder="1" applyAlignment="1" applyProtection="1">
      <alignment horizontal="center" vertical="center"/>
      <protection locked="0"/>
    </xf>
    <xf numFmtId="0" fontId="24" fillId="3" borderId="21" xfId="0" applyFont="1" applyFill="1" applyBorder="1" applyAlignment="1" applyProtection="1">
      <alignment horizontal="center" vertical="center"/>
      <protection locked="0"/>
    </xf>
    <xf numFmtId="0" fontId="24" fillId="3" borderId="84" xfId="0" applyFont="1" applyFill="1" applyBorder="1" applyAlignment="1" applyProtection="1">
      <alignment horizontal="center" vertical="center"/>
      <protection locked="0"/>
    </xf>
    <xf numFmtId="0" fontId="60" fillId="5" borderId="85" xfId="0" applyFont="1" applyFill="1" applyBorder="1" applyAlignment="1" applyProtection="1">
      <alignment horizontal="center" vertical="center"/>
      <protection locked="0"/>
    </xf>
    <xf numFmtId="0" fontId="60" fillId="5" borderId="67" xfId="0" applyFont="1" applyFill="1" applyBorder="1" applyAlignment="1" applyProtection="1">
      <alignment horizontal="center" vertical="center"/>
      <protection locked="0"/>
    </xf>
    <xf numFmtId="0" fontId="60" fillId="5" borderId="86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 wrapText="1"/>
      <protection locked="0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164" fontId="8" fillId="4" borderId="2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left" vertical="center"/>
    </xf>
    <xf numFmtId="0" fontId="15" fillId="5" borderId="16" xfId="0" applyFont="1" applyFill="1" applyBorder="1" applyAlignment="1">
      <alignment horizontal="left" vertical="center"/>
    </xf>
    <xf numFmtId="0" fontId="15" fillId="5" borderId="15" xfId="0" applyFont="1" applyFill="1" applyBorder="1" applyAlignment="1">
      <alignment horizontal="left" vertical="center"/>
    </xf>
    <xf numFmtId="0" fontId="12" fillId="3" borderId="0" xfId="0" applyFont="1" applyFill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23" fillId="5" borderId="23" xfId="0" applyFont="1" applyFill="1" applyBorder="1" applyAlignment="1">
      <alignment horizontal="left" vertical="center"/>
    </xf>
    <xf numFmtId="0" fontId="23" fillId="5" borderId="7" xfId="0" applyFont="1" applyFill="1" applyBorder="1" applyAlignment="1">
      <alignment horizontal="left" vertical="center"/>
    </xf>
    <xf numFmtId="0" fontId="23" fillId="5" borderId="24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09" fillId="3" borderId="0" xfId="0" applyFont="1" applyFill="1" applyAlignment="1">
      <alignment horizontal="right" vertical="center"/>
    </xf>
    <xf numFmtId="0" fontId="0" fillId="3" borderId="0" xfId="0" applyFill="1" applyAlignment="1" applyProtection="1">
      <alignment horizontal="center" vertical="center"/>
      <protection locked="0"/>
    </xf>
    <xf numFmtId="0" fontId="12" fillId="3" borderId="5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12" fillId="3" borderId="6" xfId="0" applyFont="1" applyFill="1" applyBorder="1" applyAlignment="1">
      <alignment horizontal="right" vertical="center"/>
    </xf>
    <xf numFmtId="0" fontId="0" fillId="3" borderId="45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1" fontId="32" fillId="4" borderId="2" xfId="0" applyNumberFormat="1" applyFont="1" applyFill="1" applyBorder="1" applyAlignment="1">
      <alignment horizontal="center" vertical="center"/>
    </xf>
    <xf numFmtId="1" fontId="32" fillId="4" borderId="3" xfId="0" applyNumberFormat="1" applyFont="1" applyFill="1" applyBorder="1" applyAlignment="1">
      <alignment horizontal="center" vertical="center"/>
    </xf>
    <xf numFmtId="1" fontId="32" fillId="4" borderId="4" xfId="0" applyNumberFormat="1" applyFont="1" applyFill="1" applyBorder="1" applyAlignment="1">
      <alignment horizontal="center" vertical="center"/>
    </xf>
    <xf numFmtId="0" fontId="108" fillId="2" borderId="0" xfId="0" applyFont="1" applyFill="1" applyAlignment="1" applyProtection="1">
      <alignment horizontal="right" vertical="center"/>
      <protection locked="0"/>
    </xf>
    <xf numFmtId="0" fontId="35" fillId="2" borderId="94" xfId="0" applyFont="1" applyFill="1" applyBorder="1" applyAlignment="1" applyProtection="1">
      <alignment horizontal="center" vertical="center"/>
      <protection locked="0"/>
    </xf>
    <xf numFmtId="0" fontId="35" fillId="2" borderId="95" xfId="0" applyFont="1" applyFill="1" applyBorder="1" applyAlignment="1" applyProtection="1">
      <alignment horizontal="center" vertical="center"/>
      <protection locked="0"/>
    </xf>
    <xf numFmtId="0" fontId="35" fillId="2" borderId="96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right" vertical="center"/>
      <protection locked="0"/>
    </xf>
    <xf numFmtId="0" fontId="20" fillId="3" borderId="0" xfId="0" applyFont="1" applyFill="1" applyAlignment="1">
      <alignment horizontal="right" vertical="center" wrapText="1"/>
    </xf>
    <xf numFmtId="0" fontId="20" fillId="3" borderId="89" xfId="0" applyFont="1" applyFill="1" applyBorder="1" applyAlignment="1">
      <alignment horizontal="right" vertical="center" wrapText="1"/>
    </xf>
    <xf numFmtId="0" fontId="0" fillId="3" borderId="90" xfId="0" applyFill="1" applyBorder="1" applyAlignment="1">
      <alignment horizontal="center"/>
    </xf>
    <xf numFmtId="0" fontId="0" fillId="3" borderId="91" xfId="0" applyFill="1" applyBorder="1" applyAlignment="1">
      <alignment horizontal="center"/>
    </xf>
    <xf numFmtId="0" fontId="0" fillId="3" borderId="92" xfId="0" applyFill="1" applyBorder="1" applyAlignment="1">
      <alignment horizontal="center"/>
    </xf>
    <xf numFmtId="0" fontId="0" fillId="3" borderId="93" xfId="0" applyFill="1" applyBorder="1" applyAlignment="1">
      <alignment horizontal="center"/>
    </xf>
    <xf numFmtId="0" fontId="60" fillId="3" borderId="0" xfId="0" applyFont="1" applyFill="1" applyAlignment="1" applyProtection="1">
      <alignment horizontal="right" vertical="center"/>
      <protection locked="0"/>
    </xf>
    <xf numFmtId="0" fontId="35" fillId="2" borderId="0" xfId="0" applyFont="1" applyFill="1" applyAlignment="1" applyProtection="1">
      <alignment horizontal="center" vertical="center"/>
      <protection locked="0"/>
    </xf>
    <xf numFmtId="0" fontId="12" fillId="3" borderId="0" xfId="0" applyFont="1" applyFill="1" applyAlignment="1">
      <alignment horizontal="center" vertical="top"/>
    </xf>
    <xf numFmtId="0" fontId="24" fillId="3" borderId="16" xfId="0" applyFont="1" applyFill="1" applyBorder="1" applyAlignment="1" applyProtection="1">
      <alignment horizontal="center" vertical="center"/>
      <protection locked="0"/>
    </xf>
    <xf numFmtId="0" fontId="24" fillId="3" borderId="14" xfId="0" applyFont="1" applyFill="1" applyBorder="1" applyAlignment="1" applyProtection="1">
      <alignment horizontal="right" vertical="center" indent="1"/>
      <protection locked="0"/>
    </xf>
    <xf numFmtId="0" fontId="24" fillId="3" borderId="15" xfId="0" applyFont="1" applyFill="1" applyBorder="1" applyAlignment="1" applyProtection="1">
      <alignment horizontal="right" vertical="center" indent="1"/>
      <protection locked="0"/>
    </xf>
    <xf numFmtId="0" fontId="60" fillId="5" borderId="16" xfId="0" applyFont="1" applyFill="1" applyBorder="1" applyAlignment="1" applyProtection="1">
      <alignment horizontal="center" vertical="center"/>
      <protection locked="0"/>
    </xf>
    <xf numFmtId="0" fontId="60" fillId="5" borderId="15" xfId="0" applyFont="1" applyFill="1" applyBorder="1" applyAlignment="1" applyProtection="1">
      <alignment horizontal="center" vertical="center"/>
      <protection locked="0"/>
    </xf>
    <xf numFmtId="49" fontId="54" fillId="3" borderId="5" xfId="0" applyNumberFormat="1" applyFont="1" applyFill="1" applyBorder="1" applyAlignment="1">
      <alignment horizontal="right" vertical="center" readingOrder="1"/>
    </xf>
    <xf numFmtId="49" fontId="54" fillId="3" borderId="0" xfId="0" applyNumberFormat="1" applyFont="1" applyFill="1" applyAlignment="1">
      <alignment horizontal="right" vertical="center" readingOrder="1"/>
    </xf>
    <xf numFmtId="49" fontId="54" fillId="3" borderId="6" xfId="0" applyNumberFormat="1" applyFont="1" applyFill="1" applyBorder="1" applyAlignment="1">
      <alignment horizontal="right" vertical="center" readingOrder="1"/>
    </xf>
    <xf numFmtId="0" fontId="52" fillId="3" borderId="5" xfId="0" applyFont="1" applyFill="1" applyBorder="1" applyAlignment="1" applyProtection="1">
      <alignment horizontal="center" vertical="center"/>
      <protection locked="0"/>
    </xf>
    <xf numFmtId="0" fontId="52" fillId="3" borderId="0" xfId="0" applyFont="1" applyFill="1" applyAlignment="1" applyProtection="1">
      <alignment horizontal="center" vertical="center"/>
      <protection locked="0"/>
    </xf>
    <xf numFmtId="0" fontId="52" fillId="3" borderId="6" xfId="0" applyFont="1" applyFill="1" applyBorder="1" applyAlignment="1" applyProtection="1">
      <alignment horizontal="center" vertical="center"/>
      <protection locked="0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168" fontId="32" fillId="4" borderId="2" xfId="0" applyNumberFormat="1" applyFont="1" applyFill="1" applyBorder="1" applyAlignment="1">
      <alignment horizontal="center" vertical="center"/>
    </xf>
    <xf numFmtId="168" fontId="32" fillId="4" borderId="3" xfId="0" applyNumberFormat="1" applyFont="1" applyFill="1" applyBorder="1" applyAlignment="1">
      <alignment horizontal="center" vertical="center"/>
    </xf>
    <xf numFmtId="168" fontId="32" fillId="4" borderId="4" xfId="0" applyNumberFormat="1" applyFont="1" applyFill="1" applyBorder="1" applyAlignment="1">
      <alignment horizontal="center" vertical="center"/>
    </xf>
    <xf numFmtId="0" fontId="53" fillId="3" borderId="5" xfId="0" applyFont="1" applyFill="1" applyBorder="1" applyAlignment="1" applyProtection="1">
      <alignment horizontal="center" vertical="center"/>
      <protection locked="0"/>
    </xf>
    <xf numFmtId="0" fontId="53" fillId="3" borderId="0" xfId="0" applyFont="1" applyFill="1" applyAlignment="1" applyProtection="1">
      <alignment horizontal="center" vertical="center"/>
      <protection locked="0"/>
    </xf>
    <xf numFmtId="0" fontId="53" fillId="3" borderId="6" xfId="0" applyFont="1" applyFill="1" applyBorder="1" applyAlignment="1" applyProtection="1">
      <alignment horizontal="center" vertical="center"/>
      <protection locked="0"/>
    </xf>
    <xf numFmtId="0" fontId="35" fillId="3" borderId="14" xfId="0" applyFont="1" applyFill="1" applyBorder="1" applyAlignment="1" applyProtection="1">
      <alignment horizontal="right" vertical="center" indent="1"/>
      <protection locked="0"/>
    </xf>
    <xf numFmtId="0" fontId="35" fillId="3" borderId="15" xfId="0" applyFont="1" applyFill="1" applyBorder="1" applyAlignment="1" applyProtection="1">
      <alignment horizontal="right" vertical="center" indent="1"/>
      <protection locked="0"/>
    </xf>
    <xf numFmtId="0" fontId="60" fillId="5" borderId="14" xfId="0" applyFont="1" applyFill="1" applyBorder="1" applyAlignment="1" applyProtection="1">
      <alignment horizontal="center" vertical="center"/>
      <protection locked="0"/>
    </xf>
    <xf numFmtId="0" fontId="44" fillId="5" borderId="14" xfId="0" applyFont="1" applyFill="1" applyBorder="1" applyAlignment="1" applyProtection="1">
      <alignment horizontal="center" vertical="center"/>
      <protection locked="0"/>
    </xf>
    <xf numFmtId="0" fontId="44" fillId="5" borderId="16" xfId="0" applyFont="1" applyFill="1" applyBorder="1" applyAlignment="1" applyProtection="1">
      <alignment horizontal="center" vertical="center"/>
      <protection locked="0"/>
    </xf>
    <xf numFmtId="0" fontId="44" fillId="5" borderId="15" xfId="0" applyFont="1" applyFill="1" applyBorder="1" applyAlignment="1" applyProtection="1">
      <alignment horizontal="center" vertical="center"/>
      <protection locked="0"/>
    </xf>
    <xf numFmtId="49" fontId="34" fillId="3" borderId="5" xfId="0" applyNumberFormat="1" applyFont="1" applyFill="1" applyBorder="1" applyAlignment="1">
      <alignment horizontal="right" vertical="center" readingOrder="1"/>
    </xf>
    <xf numFmtId="49" fontId="34" fillId="3" borderId="0" xfId="0" applyNumberFormat="1" applyFont="1" applyFill="1" applyAlignment="1">
      <alignment horizontal="right" vertical="center" readingOrder="1"/>
    </xf>
    <xf numFmtId="49" fontId="34" fillId="3" borderId="6" xfId="0" applyNumberFormat="1" applyFont="1" applyFill="1" applyBorder="1" applyAlignment="1">
      <alignment horizontal="right" vertical="center" readingOrder="1"/>
    </xf>
    <xf numFmtId="0" fontId="20" fillId="5" borderId="23" xfId="0" applyFont="1" applyFill="1" applyBorder="1" applyAlignment="1">
      <alignment horizontal="left" vertical="top" wrapText="1"/>
    </xf>
    <xf numFmtId="0" fontId="12" fillId="5" borderId="7" xfId="0" applyFont="1" applyFill="1" applyBorder="1" applyAlignment="1">
      <alignment horizontal="left" vertical="top"/>
    </xf>
    <xf numFmtId="0" fontId="12" fillId="5" borderId="24" xfId="0" applyFont="1" applyFill="1" applyBorder="1" applyAlignment="1">
      <alignment horizontal="left" vertical="top"/>
    </xf>
    <xf numFmtId="0" fontId="12" fillId="5" borderId="5" xfId="0" applyFont="1" applyFill="1" applyBorder="1" applyAlignment="1">
      <alignment horizontal="left" vertical="top"/>
    </xf>
    <xf numFmtId="0" fontId="12" fillId="5" borderId="0" xfId="0" applyFont="1" applyFill="1" applyAlignment="1">
      <alignment horizontal="left" vertical="top"/>
    </xf>
    <xf numFmtId="0" fontId="12" fillId="5" borderId="6" xfId="0" applyFont="1" applyFill="1" applyBorder="1" applyAlignment="1">
      <alignment horizontal="left" vertical="top"/>
    </xf>
    <xf numFmtId="0" fontId="12" fillId="5" borderId="14" xfId="0" applyFont="1" applyFill="1" applyBorder="1" applyAlignment="1">
      <alignment horizontal="left" vertical="top"/>
    </xf>
    <xf numFmtId="0" fontId="12" fillId="5" borderId="16" xfId="0" applyFont="1" applyFill="1" applyBorder="1" applyAlignment="1">
      <alignment horizontal="left" vertical="top"/>
    </xf>
    <xf numFmtId="0" fontId="12" fillId="5" borderId="15" xfId="0" applyFont="1" applyFill="1" applyBorder="1" applyAlignment="1">
      <alignment horizontal="left" vertical="top"/>
    </xf>
    <xf numFmtId="49" fontId="4" fillId="3" borderId="5" xfId="0" applyNumberFormat="1" applyFont="1" applyFill="1" applyBorder="1" applyAlignment="1">
      <alignment horizontal="center" vertical="center" readingOrder="1"/>
    </xf>
    <xf numFmtId="0" fontId="3" fillId="3" borderId="0" xfId="0" applyFont="1" applyFill="1" applyAlignment="1" applyProtection="1">
      <alignment horizontal="left" vertical="center" indent="1"/>
      <protection locked="0"/>
    </xf>
    <xf numFmtId="0" fontId="53" fillId="3" borderId="5" xfId="0" applyFont="1" applyFill="1" applyBorder="1" applyAlignment="1" applyProtection="1">
      <alignment horizontal="right" vertical="center"/>
      <protection locked="0"/>
    </xf>
    <xf numFmtId="0" fontId="53" fillId="3" borderId="0" xfId="0" applyFont="1" applyFill="1" applyAlignment="1" applyProtection="1">
      <alignment horizontal="right" vertical="center"/>
      <protection locked="0"/>
    </xf>
    <xf numFmtId="0" fontId="53" fillId="3" borderId="6" xfId="0" applyFont="1" applyFill="1" applyBorder="1" applyAlignment="1" applyProtection="1">
      <alignment horizontal="right" vertical="center"/>
      <protection locked="0"/>
    </xf>
    <xf numFmtId="1" fontId="32" fillId="4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left" vertical="center" indent="1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center"/>
      <protection locked="0"/>
    </xf>
    <xf numFmtId="0" fontId="17" fillId="3" borderId="2" xfId="0" applyFont="1" applyFill="1" applyBorder="1" applyAlignment="1" applyProtection="1">
      <alignment horizontal="center" vertical="center"/>
      <protection locked="0"/>
    </xf>
    <xf numFmtId="0" fontId="17" fillId="3" borderId="3" xfId="0" applyFont="1" applyFill="1" applyBorder="1" applyAlignment="1" applyProtection="1">
      <alignment horizontal="center" vertical="center"/>
      <protection locked="0"/>
    </xf>
    <xf numFmtId="0" fontId="17" fillId="3" borderId="4" xfId="0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12" xfId="0" applyFont="1" applyFill="1" applyBorder="1" applyAlignment="1" applyProtection="1">
      <alignment horizontal="center" vertical="center"/>
      <protection locked="0"/>
    </xf>
    <xf numFmtId="0" fontId="15" fillId="4" borderId="39" xfId="0" applyFont="1" applyFill="1" applyBorder="1" applyAlignment="1" applyProtection="1">
      <alignment horizontal="center" vertical="center"/>
      <protection locked="0"/>
    </xf>
    <xf numFmtId="0" fontId="33" fillId="3" borderId="40" xfId="0" applyFont="1" applyFill="1" applyBorder="1" applyAlignment="1">
      <alignment horizontal="left" vertical="center" indent="1"/>
    </xf>
    <xf numFmtId="0" fontId="33" fillId="3" borderId="41" xfId="0" applyFont="1" applyFill="1" applyBorder="1" applyAlignment="1">
      <alignment horizontal="left" vertical="center" indent="1"/>
    </xf>
    <xf numFmtId="0" fontId="33" fillId="3" borderId="42" xfId="0" applyFont="1" applyFill="1" applyBorder="1" applyAlignment="1">
      <alignment horizontal="left" vertical="center" indent="1"/>
    </xf>
    <xf numFmtId="0" fontId="20" fillId="3" borderId="16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3" fillId="5" borderId="23" xfId="0" applyFont="1" applyFill="1" applyBorder="1" applyAlignment="1">
      <alignment horizontal="left" vertical="center" wrapText="1"/>
    </xf>
    <xf numFmtId="0" fontId="23" fillId="5" borderId="7" xfId="0" applyFont="1" applyFill="1" applyBorder="1" applyAlignment="1">
      <alignment horizontal="left" vertical="center" wrapText="1"/>
    </xf>
    <xf numFmtId="0" fontId="23" fillId="5" borderId="24" xfId="0" applyFont="1" applyFill="1" applyBorder="1" applyAlignment="1">
      <alignment horizontal="left" vertical="center" wrapText="1"/>
    </xf>
    <xf numFmtId="0" fontId="23" fillId="5" borderId="5" xfId="0" applyFont="1" applyFill="1" applyBorder="1" applyAlignment="1">
      <alignment horizontal="left" vertical="top" wrapText="1"/>
    </xf>
    <xf numFmtId="0" fontId="23" fillId="5" borderId="0" xfId="0" applyFont="1" applyFill="1" applyAlignment="1">
      <alignment horizontal="left" vertical="top" wrapText="1"/>
    </xf>
    <xf numFmtId="0" fontId="23" fillId="5" borderId="6" xfId="0" applyFont="1" applyFill="1" applyBorder="1" applyAlignment="1">
      <alignment horizontal="left" vertical="top" wrapText="1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right" vertical="center"/>
    </xf>
    <xf numFmtId="0" fontId="22" fillId="4" borderId="3" xfId="0" applyFont="1" applyFill="1" applyBorder="1" applyAlignment="1">
      <alignment horizontal="right" vertical="center"/>
    </xf>
    <xf numFmtId="0" fontId="22" fillId="4" borderId="4" xfId="0" applyFont="1" applyFill="1" applyBorder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65" fontId="24" fillId="4" borderId="14" xfId="0" applyNumberFormat="1" applyFont="1" applyFill="1" applyBorder="1" applyAlignment="1" applyProtection="1">
      <alignment horizontal="right" vertical="center"/>
      <protection locked="0"/>
    </xf>
    <xf numFmtId="165" fontId="24" fillId="4" borderId="16" xfId="0" applyNumberFormat="1" applyFont="1" applyFill="1" applyBorder="1" applyAlignment="1" applyProtection="1">
      <alignment horizontal="right" vertical="center"/>
      <protection locked="0"/>
    </xf>
    <xf numFmtId="165" fontId="24" fillId="4" borderId="15" xfId="0" applyNumberFormat="1" applyFont="1" applyFill="1" applyBorder="1" applyAlignment="1" applyProtection="1">
      <alignment horizontal="right" vertical="center"/>
      <protection locked="0"/>
    </xf>
    <xf numFmtId="0" fontId="14" fillId="3" borderId="14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Alignment="1">
      <alignment horizontal="center" vertical="top"/>
    </xf>
    <xf numFmtId="0" fontId="20" fillId="3" borderId="27" xfId="0" applyFont="1" applyFill="1" applyBorder="1" applyAlignment="1">
      <alignment horizontal="right" vertical="center" wrapText="1"/>
    </xf>
    <xf numFmtId="0" fontId="14" fillId="3" borderId="33" xfId="0" applyFont="1" applyFill="1" applyBorder="1" applyAlignment="1">
      <alignment horizontal="center"/>
    </xf>
    <xf numFmtId="0" fontId="14" fillId="3" borderId="34" xfId="0" applyFont="1" applyFill="1" applyBorder="1" applyAlignment="1">
      <alignment horizontal="center"/>
    </xf>
    <xf numFmtId="0" fontId="14" fillId="3" borderId="32" xfId="0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0" fontId="5" fillId="3" borderId="66" xfId="0" applyFont="1" applyFill="1" applyBorder="1" applyAlignment="1" applyProtection="1">
      <alignment horizontal="right" vertical="center" indent="1"/>
      <protection locked="0"/>
    </xf>
    <xf numFmtId="0" fontId="5" fillId="3" borderId="43" xfId="0" applyFont="1" applyFill="1" applyBorder="1" applyAlignment="1" applyProtection="1">
      <alignment horizontal="right" vertical="center" indent="1"/>
      <protection locked="0"/>
    </xf>
    <xf numFmtId="0" fontId="44" fillId="4" borderId="19" xfId="0" applyFont="1" applyFill="1" applyBorder="1" applyAlignment="1" applyProtection="1">
      <alignment horizontal="center" vertical="center"/>
      <protection locked="0"/>
    </xf>
    <xf numFmtId="0" fontId="19" fillId="4" borderId="68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/>
    </xf>
    <xf numFmtId="0" fontId="19" fillId="4" borderId="70" xfId="0" applyFont="1" applyFill="1" applyBorder="1" applyAlignment="1">
      <alignment horizontal="center" vertical="center"/>
    </xf>
    <xf numFmtId="0" fontId="60" fillId="4" borderId="66" xfId="0" applyFont="1" applyFill="1" applyBorder="1" applyAlignment="1" applyProtection="1">
      <alignment horizontal="center" vertical="center"/>
      <protection locked="0"/>
    </xf>
    <xf numFmtId="0" fontId="60" fillId="4" borderId="67" xfId="0" applyFont="1" applyFill="1" applyBorder="1" applyAlignment="1" applyProtection="1">
      <alignment horizontal="center" vertical="center"/>
      <protection locked="0"/>
    </xf>
    <xf numFmtId="0" fontId="60" fillId="4" borderId="43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2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63" fillId="3" borderId="5" xfId="0" applyFont="1" applyFill="1" applyBorder="1" applyAlignment="1" applyProtection="1">
      <alignment horizontal="center" vertical="center"/>
      <protection locked="0"/>
    </xf>
    <xf numFmtId="0" fontId="63" fillId="3" borderId="0" xfId="0" applyFont="1" applyFill="1" applyAlignment="1" applyProtection="1">
      <alignment horizontal="center" vertical="center"/>
      <protection locked="0"/>
    </xf>
    <xf numFmtId="0" fontId="63" fillId="3" borderId="6" xfId="0" applyFont="1" applyFill="1" applyBorder="1" applyAlignment="1" applyProtection="1">
      <alignment horizontal="center" vertical="center"/>
      <protection locked="0"/>
    </xf>
    <xf numFmtId="0" fontId="63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9" fillId="5" borderId="2" xfId="0" applyNumberFormat="1" applyFont="1" applyFill="1" applyBorder="1" applyAlignment="1">
      <alignment horizontal="center" vertical="center"/>
    </xf>
    <xf numFmtId="2" fontId="19" fillId="5" borderId="3" xfId="0" applyNumberFormat="1" applyFont="1" applyFill="1" applyBorder="1" applyAlignment="1">
      <alignment horizontal="center" vertical="center"/>
    </xf>
    <xf numFmtId="2" fontId="19" fillId="5" borderId="4" xfId="0" applyNumberFormat="1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left" vertical="top" wrapText="1"/>
    </xf>
    <xf numFmtId="0" fontId="20" fillId="4" borderId="7" xfId="0" applyFont="1" applyFill="1" applyBorder="1" applyAlignment="1">
      <alignment horizontal="left" vertical="top" wrapText="1"/>
    </xf>
    <xf numFmtId="0" fontId="20" fillId="4" borderId="24" xfId="0" applyFont="1" applyFill="1" applyBorder="1" applyAlignment="1">
      <alignment horizontal="left" vertical="top" wrapText="1"/>
    </xf>
    <xf numFmtId="0" fontId="20" fillId="4" borderId="14" xfId="0" applyFont="1" applyFill="1" applyBorder="1" applyAlignment="1">
      <alignment horizontal="left" vertical="top" wrapText="1"/>
    </xf>
    <xf numFmtId="0" fontId="20" fillId="4" borderId="16" xfId="0" applyFont="1" applyFill="1" applyBorder="1" applyAlignment="1">
      <alignment horizontal="left" vertical="top" wrapText="1"/>
    </xf>
    <xf numFmtId="0" fontId="20" fillId="4" borderId="15" xfId="0" applyFont="1" applyFill="1" applyBorder="1" applyAlignment="1">
      <alignment horizontal="left" vertical="top" wrapText="1"/>
    </xf>
    <xf numFmtId="0" fontId="4" fillId="3" borderId="36" xfId="0" applyFont="1" applyFill="1" applyBorder="1" applyAlignment="1" applyProtection="1">
      <alignment horizontal="center" vertical="center"/>
      <protection locked="0"/>
    </xf>
    <xf numFmtId="0" fontId="4" fillId="3" borderId="37" xfId="0" applyFont="1" applyFill="1" applyBorder="1" applyAlignment="1" applyProtection="1">
      <alignment horizontal="center" vertical="center"/>
      <protection locked="0"/>
    </xf>
    <xf numFmtId="0" fontId="4" fillId="3" borderId="38" xfId="0" applyFont="1" applyFill="1" applyBorder="1" applyAlignment="1" applyProtection="1">
      <alignment horizontal="center" vertical="center"/>
      <protection locked="0"/>
    </xf>
    <xf numFmtId="0" fontId="4" fillId="3" borderId="51" xfId="0" applyFont="1" applyFill="1" applyBorder="1" applyAlignment="1" applyProtection="1">
      <alignment horizontal="center" vertical="center"/>
      <protection locked="0"/>
    </xf>
    <xf numFmtId="0" fontId="4" fillId="3" borderId="52" xfId="0" applyFont="1" applyFill="1" applyBorder="1" applyAlignment="1" applyProtection="1">
      <alignment horizontal="center" vertical="center"/>
      <protection locked="0"/>
    </xf>
    <xf numFmtId="0" fontId="4" fillId="3" borderId="53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9" fillId="4" borderId="39" xfId="0" applyFont="1" applyFill="1" applyBorder="1" applyAlignment="1" applyProtection="1">
      <alignment horizontal="center" vertical="center"/>
      <protection locked="0"/>
    </xf>
    <xf numFmtId="0" fontId="39" fillId="4" borderId="2" xfId="0" applyFont="1" applyFill="1" applyBorder="1" applyAlignment="1" applyProtection="1">
      <alignment horizontal="center" vertical="center"/>
      <protection locked="0"/>
    </xf>
    <xf numFmtId="0" fontId="39" fillId="4" borderId="3" xfId="0" applyFont="1" applyFill="1" applyBorder="1" applyAlignment="1" applyProtection="1">
      <alignment horizontal="center" vertical="center"/>
      <protection locked="0"/>
    </xf>
    <xf numFmtId="0" fontId="39" fillId="4" borderId="4" xfId="0" applyFont="1" applyFill="1" applyBorder="1" applyAlignment="1" applyProtection="1">
      <alignment horizontal="center" vertical="center"/>
      <protection locked="0"/>
    </xf>
    <xf numFmtId="0" fontId="41" fillId="3" borderId="1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170" fontId="32" fillId="5" borderId="14" xfId="0" applyNumberFormat="1" applyFont="1" applyFill="1" applyBorder="1" applyAlignment="1" applyProtection="1">
      <alignment horizontal="center" vertical="center"/>
      <protection locked="0"/>
    </xf>
    <xf numFmtId="170" fontId="32" fillId="5" borderId="15" xfId="0" applyNumberFormat="1" applyFont="1" applyFill="1" applyBorder="1" applyAlignment="1" applyProtection="1">
      <alignment horizontal="center" vertical="center"/>
      <protection locked="0"/>
    </xf>
    <xf numFmtId="0" fontId="35" fillId="4" borderId="14" xfId="0" applyFont="1" applyFill="1" applyBorder="1" applyAlignment="1" applyProtection="1">
      <alignment horizontal="center" vertical="center"/>
      <protection locked="0"/>
    </xf>
    <xf numFmtId="0" fontId="35" fillId="4" borderId="16" xfId="0" applyFont="1" applyFill="1" applyBorder="1" applyAlignment="1" applyProtection="1">
      <alignment horizontal="center" vertical="center"/>
      <protection locked="0"/>
    </xf>
    <xf numFmtId="0" fontId="5" fillId="3" borderId="73" xfId="0" applyFont="1" applyFill="1" applyBorder="1" applyAlignment="1" applyProtection="1">
      <alignment horizontal="center" vertical="center"/>
      <protection locked="0"/>
    </xf>
    <xf numFmtId="0" fontId="5" fillId="3" borderId="74" xfId="0" applyFont="1" applyFill="1" applyBorder="1" applyAlignment="1" applyProtection="1">
      <alignment horizontal="center" vertical="center"/>
      <protection locked="0"/>
    </xf>
    <xf numFmtId="0" fontId="0" fillId="3" borderId="75" xfId="0" applyFill="1" applyBorder="1" applyAlignment="1">
      <alignment horizontal="center"/>
    </xf>
    <xf numFmtId="0" fontId="0" fillId="3" borderId="76" xfId="0" applyFill="1" applyBorder="1" applyAlignment="1">
      <alignment horizontal="center"/>
    </xf>
    <xf numFmtId="0" fontId="27" fillId="3" borderId="2" xfId="0" applyFont="1" applyFill="1" applyBorder="1" applyAlignment="1" applyProtection="1">
      <alignment horizontal="center" vertical="center"/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49" fontId="20" fillId="4" borderId="14" xfId="0" applyNumberFormat="1" applyFont="1" applyFill="1" applyBorder="1" applyAlignment="1" applyProtection="1">
      <alignment horizontal="left" vertical="top" wrapText="1"/>
      <protection locked="0"/>
    </xf>
    <xf numFmtId="49" fontId="20" fillId="4" borderId="16" xfId="0" applyNumberFormat="1" applyFont="1" applyFill="1" applyBorder="1" applyAlignment="1" applyProtection="1">
      <alignment horizontal="left" vertical="top" wrapText="1"/>
      <protection locked="0"/>
    </xf>
    <xf numFmtId="49" fontId="20" fillId="4" borderId="15" xfId="0" applyNumberFormat="1" applyFont="1" applyFill="1" applyBorder="1" applyAlignment="1" applyProtection="1">
      <alignment horizontal="left" vertical="top" wrapText="1"/>
      <protection locked="0"/>
    </xf>
    <xf numFmtId="49" fontId="20" fillId="4" borderId="23" xfId="0" applyNumberFormat="1" applyFont="1" applyFill="1" applyBorder="1" applyAlignment="1" applyProtection="1">
      <alignment horizontal="left" vertical="top" wrapText="1"/>
      <protection locked="0"/>
    </xf>
    <xf numFmtId="49" fontId="20" fillId="4" borderId="7" xfId="0" applyNumberFormat="1" applyFont="1" applyFill="1" applyBorder="1" applyAlignment="1" applyProtection="1">
      <alignment horizontal="left" vertical="top" wrapText="1"/>
      <protection locked="0"/>
    </xf>
    <xf numFmtId="49" fontId="20" fillId="4" borderId="24" xfId="0" applyNumberFormat="1" applyFont="1" applyFill="1" applyBorder="1" applyAlignment="1" applyProtection="1">
      <alignment horizontal="left" vertical="top" wrapText="1"/>
      <protection locked="0"/>
    </xf>
    <xf numFmtId="49" fontId="20" fillId="4" borderId="5" xfId="0" applyNumberFormat="1" applyFont="1" applyFill="1" applyBorder="1" applyAlignment="1" applyProtection="1">
      <alignment horizontal="left" vertical="top" wrapText="1"/>
      <protection locked="0"/>
    </xf>
    <xf numFmtId="49" fontId="20" fillId="4" borderId="0" xfId="0" applyNumberFormat="1" applyFont="1" applyFill="1" applyAlignment="1" applyProtection="1">
      <alignment horizontal="left" vertical="top" wrapText="1"/>
      <protection locked="0"/>
    </xf>
    <xf numFmtId="49" fontId="20" fillId="4" borderId="6" xfId="0" applyNumberFormat="1" applyFont="1" applyFill="1" applyBorder="1" applyAlignment="1" applyProtection="1">
      <alignment horizontal="left" vertical="top" wrapText="1"/>
      <protection locked="0"/>
    </xf>
    <xf numFmtId="0" fontId="17" fillId="3" borderId="39" xfId="0" applyFont="1" applyFill="1" applyBorder="1" applyAlignment="1" applyProtection="1">
      <alignment horizontal="center" vertical="center"/>
      <protection locked="0"/>
    </xf>
    <xf numFmtId="0" fontId="14" fillId="2" borderId="65" xfId="0" applyFont="1" applyFill="1" applyBorder="1" applyAlignment="1">
      <alignment horizontal="center"/>
    </xf>
    <xf numFmtId="0" fontId="12" fillId="3" borderId="0" xfId="0" applyFont="1" applyFill="1" applyAlignment="1">
      <alignment horizontal="center" vertical="top" wrapText="1"/>
    </xf>
    <xf numFmtId="0" fontId="24" fillId="3" borderId="1" xfId="0" applyFont="1" applyFill="1" applyBorder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right" vertical="center"/>
      <protection locked="0"/>
    </xf>
    <xf numFmtId="0" fontId="19" fillId="5" borderId="50" xfId="0" applyFont="1" applyFill="1" applyBorder="1" applyAlignment="1">
      <alignment horizontal="center"/>
    </xf>
    <xf numFmtId="0" fontId="19" fillId="5" borderId="29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20" fillId="4" borderId="23" xfId="0" applyFont="1" applyFill="1" applyBorder="1" applyAlignment="1" applyProtection="1">
      <alignment horizontal="left" vertical="top" wrapText="1"/>
      <protection locked="0"/>
    </xf>
    <xf numFmtId="0" fontId="20" fillId="4" borderId="7" xfId="0" applyFont="1" applyFill="1" applyBorder="1" applyAlignment="1" applyProtection="1">
      <alignment horizontal="left" vertical="top" wrapText="1"/>
      <protection locked="0"/>
    </xf>
    <xf numFmtId="0" fontId="20" fillId="4" borderId="24" xfId="0" applyFont="1" applyFill="1" applyBorder="1" applyAlignment="1" applyProtection="1">
      <alignment horizontal="left" vertical="top" wrapText="1"/>
      <protection locked="0"/>
    </xf>
    <xf numFmtId="0" fontId="20" fillId="4" borderId="5" xfId="0" applyFont="1" applyFill="1" applyBorder="1" applyAlignment="1" applyProtection="1">
      <alignment horizontal="left" vertical="top" wrapText="1"/>
      <protection locked="0"/>
    </xf>
    <xf numFmtId="0" fontId="20" fillId="4" borderId="0" xfId="0" applyFont="1" applyFill="1" applyAlignment="1" applyProtection="1">
      <alignment horizontal="left" vertical="top" wrapText="1"/>
      <protection locked="0"/>
    </xf>
    <xf numFmtId="0" fontId="20" fillId="4" borderId="6" xfId="0" applyFont="1" applyFill="1" applyBorder="1" applyAlignment="1" applyProtection="1">
      <alignment horizontal="left" vertical="top" wrapText="1"/>
      <protection locked="0"/>
    </xf>
    <xf numFmtId="0" fontId="20" fillId="4" borderId="14" xfId="0" applyFont="1" applyFill="1" applyBorder="1" applyAlignment="1" applyProtection="1">
      <alignment horizontal="left" vertical="top" wrapText="1"/>
      <protection locked="0"/>
    </xf>
    <xf numFmtId="0" fontId="20" fillId="4" borderId="16" xfId="0" applyFont="1" applyFill="1" applyBorder="1" applyAlignment="1" applyProtection="1">
      <alignment horizontal="left" vertical="top" wrapText="1"/>
      <protection locked="0"/>
    </xf>
    <xf numFmtId="0" fontId="20" fillId="4" borderId="15" xfId="0" applyFont="1" applyFill="1" applyBorder="1" applyAlignment="1" applyProtection="1">
      <alignment horizontal="left" vertical="top" wrapText="1"/>
      <protection locked="0"/>
    </xf>
    <xf numFmtId="0" fontId="26" fillId="3" borderId="1" xfId="0" applyFont="1" applyFill="1" applyBorder="1" applyAlignment="1">
      <alignment horizontal="left" vertical="center" indent="1"/>
    </xf>
    <xf numFmtId="49" fontId="36" fillId="4" borderId="14" xfId="0" applyNumberFormat="1" applyFont="1" applyFill="1" applyBorder="1" applyAlignment="1">
      <alignment horizontal="left" vertical="center" indent="1"/>
    </xf>
    <xf numFmtId="49" fontId="36" fillId="4" borderId="16" xfId="0" applyNumberFormat="1" applyFont="1" applyFill="1" applyBorder="1" applyAlignment="1">
      <alignment horizontal="left" vertical="center" indent="1"/>
    </xf>
    <xf numFmtId="49" fontId="36" fillId="4" borderId="15" xfId="0" applyNumberFormat="1" applyFont="1" applyFill="1" applyBorder="1" applyAlignment="1">
      <alignment horizontal="left" vertical="center" indent="1"/>
    </xf>
    <xf numFmtId="0" fontId="47" fillId="4" borderId="14" xfId="0" applyFont="1" applyFill="1" applyBorder="1" applyAlignment="1">
      <alignment horizontal="left" vertical="center" indent="1"/>
    </xf>
    <xf numFmtId="0" fontId="67" fillId="4" borderId="16" xfId="0" applyFont="1" applyFill="1" applyBorder="1" applyAlignment="1">
      <alignment horizontal="left" vertical="center" indent="1"/>
    </xf>
    <xf numFmtId="0" fontId="67" fillId="4" borderId="15" xfId="0" applyFont="1" applyFill="1" applyBorder="1" applyAlignment="1">
      <alignment horizontal="left" vertical="center" indent="1"/>
    </xf>
    <xf numFmtId="0" fontId="26" fillId="3" borderId="1" xfId="0" applyFont="1" applyFill="1" applyBorder="1" applyAlignment="1">
      <alignment horizontal="left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top" wrapText="1"/>
    </xf>
    <xf numFmtId="0" fontId="27" fillId="3" borderId="25" xfId="0" applyFont="1" applyFill="1" applyBorder="1" applyAlignment="1" applyProtection="1">
      <alignment horizontal="center" vertical="center"/>
      <protection locked="0"/>
    </xf>
    <xf numFmtId="0" fontId="20" fillId="6" borderId="23" xfId="0" applyFont="1" applyFill="1" applyBorder="1" applyAlignment="1" applyProtection="1">
      <alignment horizontal="left" vertical="center"/>
      <protection locked="0"/>
    </xf>
    <xf numFmtId="0" fontId="20" fillId="6" borderId="7" xfId="0" applyFont="1" applyFill="1" applyBorder="1" applyAlignment="1" applyProtection="1">
      <alignment horizontal="left" vertical="center"/>
      <protection locked="0"/>
    </xf>
    <xf numFmtId="0" fontId="20" fillId="6" borderId="24" xfId="0" applyFont="1" applyFill="1" applyBorder="1" applyAlignment="1" applyProtection="1">
      <alignment horizontal="left" vertical="center"/>
      <protection locked="0"/>
    </xf>
    <xf numFmtId="0" fontId="68" fillId="6" borderId="14" xfId="0" applyFont="1" applyFill="1" applyBorder="1" applyAlignment="1" applyProtection="1">
      <alignment horizontal="left" vertical="center"/>
      <protection locked="0"/>
    </xf>
    <xf numFmtId="0" fontId="68" fillId="6" borderId="16" xfId="0" applyFont="1" applyFill="1" applyBorder="1" applyAlignment="1" applyProtection="1">
      <alignment horizontal="left" vertical="center"/>
      <protection locked="0"/>
    </xf>
    <xf numFmtId="0" fontId="68" fillId="6" borderId="15" xfId="0" applyFont="1" applyFill="1" applyBorder="1" applyAlignment="1" applyProtection="1">
      <alignment horizontal="left" vertical="center"/>
      <protection locked="0"/>
    </xf>
    <xf numFmtId="0" fontId="85" fillId="3" borderId="7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DEDED"/>
      <color rgb="FFF9F9F9"/>
      <color rgb="FFFAFAFA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1675729</xdr:colOff>
      <xdr:row>21</xdr:row>
      <xdr:rowOff>226875</xdr:rowOff>
    </xdr:from>
    <xdr:ext cx="2352444" cy="1074760"/>
    <xdr:pic>
      <xdr:nvPicPr>
        <xdr:cNvPr id="2" name="Picture 1">
          <a:extLst>
            <a:ext uri="{FF2B5EF4-FFF2-40B4-BE49-F238E27FC236}">
              <a16:creationId xmlns:a16="http://schemas.microsoft.com/office/drawing/2014/main" id="{12681624-D6BA-4297-A501-ED723B16D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9512" r="90000">
                      <a14:foregroundMark x1="25122" y1="32105" x2="25122" y2="32105"/>
                      <a14:foregroundMark x1="25122" y1="32105" x2="25122" y2="32105"/>
                      <a14:foregroundMark x1="25122" y1="32105" x2="25122" y2="32105"/>
                      <a14:foregroundMark x1="9512" y1="12632" x2="9512" y2="12632"/>
                      <a14:foregroundMark x1="29756" y1="40000" x2="29756" y2="40000"/>
                      <a14:foregroundMark x1="29756" y1="35789" x2="29756" y2="35789"/>
                      <a14:foregroundMark x1="30244" y1="30526" x2="30244" y2="30526"/>
                      <a14:foregroundMark x1="30000" y1="39474" x2="30000" y2="39474"/>
                      <a14:foregroundMark x1="33171" y1="30526" x2="33171" y2="30526"/>
                      <a14:foregroundMark x1="41463" y1="34737" x2="41463" y2="34737"/>
                      <a14:foregroundMark x1="49756" y1="34737" x2="49756" y2="34737"/>
                      <a14:foregroundMark x1="54146" y1="34737" x2="54146" y2="34737"/>
                      <a14:foregroundMark x1="65610" y1="32105" x2="65610" y2="32105"/>
                      <a14:foregroundMark x1="69756" y1="32105" x2="69756" y2="32105"/>
                      <a14:foregroundMark x1="59756" y1="46316" x2="59756" y2="46316"/>
                      <a14:foregroundMark x1="17561" y1="63158" x2="17561" y2="63158"/>
                      <a14:foregroundMark x1="22927" y1="62632" x2="22927" y2="62632"/>
                      <a14:foregroundMark x1="30244" y1="63684" x2="30244" y2="63684"/>
                      <a14:foregroundMark x1="37805" y1="65789" x2="37805" y2="65789"/>
                      <a14:foregroundMark x1="42439" y1="63158" x2="42439" y2="63158"/>
                      <a14:foregroundMark x1="49024" y1="65263" x2="49024" y2="65263"/>
                      <a14:foregroundMark x1="55122" y1="65263" x2="55122" y2="65263"/>
                      <a14:foregroundMark x1="61951" y1="64211" x2="61951" y2="64211"/>
                      <a14:foregroundMark x1="67805" y1="64211" x2="67805" y2="64211"/>
                      <a14:foregroundMark x1="73171" y1="64211" x2="73171" y2="64211"/>
                      <a14:foregroundMark x1="83659" y1="67895" x2="83659" y2="67895"/>
                      <a14:foregroundMark x1="22195" y1="67895" x2="22195" y2="67895"/>
                      <a14:foregroundMark x1="71220" y1="67895" x2="71220" y2="67895"/>
                    </a14:backgroundRemoval>
                  </a14:imgEffect>
                </a14:imgLayer>
              </a14:imgProps>
            </a:ext>
          </a:extLst>
        </a:blip>
        <a:srcRect l="6384" t="7716" r="7265" b="7128"/>
        <a:stretch/>
      </xdr:blipFill>
      <xdr:spPr>
        <a:xfrm rot="20884853">
          <a:off x="2202405" y="7813257"/>
          <a:ext cx="2352444" cy="1074760"/>
        </a:xfrm>
        <a:prstGeom prst="rect">
          <a:avLst/>
        </a:prstGeom>
      </xdr:spPr>
    </xdr:pic>
    <xdr:clientData/>
  </xdr:oneCellAnchor>
  <xdr:oneCellAnchor>
    <xdr:from>
      <xdr:col>2</xdr:col>
      <xdr:colOff>2036344</xdr:colOff>
      <xdr:row>0</xdr:row>
      <xdr:rowOff>28575</xdr:rowOff>
    </xdr:from>
    <xdr:ext cx="2280328" cy="821448"/>
    <xdr:pic>
      <xdr:nvPicPr>
        <xdr:cNvPr id="3" name="Picture 2">
          <a:extLst>
            <a:ext uri="{FF2B5EF4-FFF2-40B4-BE49-F238E27FC236}">
              <a16:creationId xmlns:a16="http://schemas.microsoft.com/office/drawing/2014/main" id="{088E032B-25EC-4A13-ABCC-2EC2B1C3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0219" y="28575"/>
          <a:ext cx="2280328" cy="821448"/>
        </a:xfrm>
        <a:prstGeom prst="rect">
          <a:avLst/>
        </a:prstGeom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220980</xdr:colOff>
          <xdr:row>6</xdr:row>
          <xdr:rowOff>60960</xdr:rowOff>
        </xdr:from>
        <xdr:to>
          <xdr:col>7</xdr:col>
          <xdr:colOff>464820</xdr:colOff>
          <xdr:row>6</xdr:row>
          <xdr:rowOff>342900</xdr:rowOff>
        </xdr:to>
        <xdr:sp macro="" textlink="">
          <xdr:nvSpPr>
            <xdr:cNvPr id="49153" name="Check Box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3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182880</xdr:colOff>
          <xdr:row>6</xdr:row>
          <xdr:rowOff>83820</xdr:rowOff>
        </xdr:from>
        <xdr:to>
          <xdr:col>8</xdr:col>
          <xdr:colOff>373380</xdr:colOff>
          <xdr:row>6</xdr:row>
          <xdr:rowOff>297180</xdr:rowOff>
        </xdr:to>
        <xdr:sp macro="" textlink="">
          <xdr:nvSpPr>
            <xdr:cNvPr id="49154" name="Check Box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3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937260</xdr:colOff>
          <xdr:row>33</xdr:row>
          <xdr:rowOff>0</xdr:rowOff>
        </xdr:from>
        <xdr:to>
          <xdr:col>1</xdr:col>
          <xdr:colOff>1135380</xdr:colOff>
          <xdr:row>34</xdr:row>
          <xdr:rowOff>22860</xdr:rowOff>
        </xdr:to>
        <xdr:sp macro="" textlink="">
          <xdr:nvSpPr>
            <xdr:cNvPr id="38917" name="Check Box 5" hidden="1">
              <a:extLst>
                <a:ext uri="{63B3BB69-23CF-44E3-9099-C40C66FF867C}">
                  <a14:compatExt spid="_x0000_s38917"/>
                </a:ext>
                <a:ext uri="{FF2B5EF4-FFF2-40B4-BE49-F238E27FC236}">
                  <a16:creationId xmlns:a16="http://schemas.microsoft.com/office/drawing/2014/main" id="{00000000-0008-0000-0900-000005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635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251460</xdr:colOff>
          <xdr:row>33</xdr:row>
          <xdr:rowOff>0</xdr:rowOff>
        </xdr:from>
        <xdr:to>
          <xdr:col>2</xdr:col>
          <xdr:colOff>487680</xdr:colOff>
          <xdr:row>34</xdr:row>
          <xdr:rowOff>22860</xdr:rowOff>
        </xdr:to>
        <xdr:sp macro="" textlink="">
          <xdr:nvSpPr>
            <xdr:cNvPr id="38918" name="Check Box 6" hidden="1">
              <a:extLst>
                <a:ext uri="{63B3BB69-23CF-44E3-9099-C40C66FF867C}">
                  <a14:compatExt spid="_x0000_s38918"/>
                </a:ext>
                <a:ext uri="{FF2B5EF4-FFF2-40B4-BE49-F238E27FC236}">
                  <a16:creationId xmlns:a16="http://schemas.microsoft.com/office/drawing/2014/main" id="{00000000-0008-0000-0900-000006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635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16</xdr:row>
      <xdr:rowOff>142875</xdr:rowOff>
    </xdr:from>
    <xdr:to>
      <xdr:col>9</xdr:col>
      <xdr:colOff>476250</xdr:colOff>
      <xdr:row>28</xdr:row>
      <xdr:rowOff>153913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4F54A-709F-432B-A2A8-2E8DE0461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830" t="1552" r="6757"/>
        <a:stretch/>
      </xdr:blipFill>
      <xdr:spPr>
        <a:xfrm rot="16200000">
          <a:off x="4137856" y="3910769"/>
          <a:ext cx="2754238" cy="2476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385483</xdr:colOff>
      <xdr:row>16</xdr:row>
      <xdr:rowOff>87407</xdr:rowOff>
    </xdr:from>
    <xdr:to>
      <xdr:col>4</xdr:col>
      <xdr:colOff>777316</xdr:colOff>
      <xdr:row>28</xdr:row>
      <xdr:rowOff>135195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463A5-D825-4AB9-AAF6-954834A4C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358" y="3716432"/>
          <a:ext cx="2830233" cy="2790988"/>
        </a:xfrm>
        <a:prstGeom prst="rect">
          <a:avLst/>
        </a:prstGeom>
        <a:noFill/>
      </xdr:spPr>
    </xdr:pic>
    <xdr:clientData/>
  </xdr:twoCellAnchor>
  <xdr:twoCellAnchor>
    <xdr:from>
      <xdr:col>5</xdr:col>
      <xdr:colOff>432586</xdr:colOff>
      <xdr:row>28</xdr:row>
      <xdr:rowOff>78440</xdr:rowOff>
    </xdr:from>
    <xdr:to>
      <xdr:col>9</xdr:col>
      <xdr:colOff>810983</xdr:colOff>
      <xdr:row>30</xdr:row>
      <xdr:rowOff>44823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5A785D-79C0-407E-BED2-121479992172}"/>
            </a:ext>
          </a:extLst>
        </xdr:cNvPr>
        <xdr:cNvSpPr txBox="1"/>
      </xdr:nvSpPr>
      <xdr:spPr>
        <a:xfrm>
          <a:off x="3804436" y="6450665"/>
          <a:ext cx="3283522" cy="537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Figure 2: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Wire with tracer ticket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stretch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wrap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spool</a:t>
          </a:r>
          <a:endParaRPr lang="en-US" sz="1400" b="1"/>
        </a:p>
      </xdr:txBody>
    </xdr:sp>
    <xdr:clientData/>
  </xdr:twoCellAnchor>
  <xdr:twoCellAnchor>
    <xdr:from>
      <xdr:col>1</xdr:col>
      <xdr:colOff>532943</xdr:colOff>
      <xdr:row>28</xdr:row>
      <xdr:rowOff>105952</xdr:rowOff>
    </xdr:from>
    <xdr:to>
      <xdr:col>4</xdr:col>
      <xdr:colOff>661811</xdr:colOff>
      <xdr:row>29</xdr:row>
      <xdr:rowOff>144051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56B138-284D-40A2-9BA8-C7491C312580}"/>
            </a:ext>
          </a:extLst>
        </xdr:cNvPr>
        <xdr:cNvSpPr txBox="1"/>
      </xdr:nvSpPr>
      <xdr:spPr>
        <a:xfrm>
          <a:off x="675818" y="6478177"/>
          <a:ext cx="2567268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Figure 1:</a:t>
          </a:r>
          <a:r>
            <a:rPr lang="en-US" sz="1200" b="1" baseline="0"/>
            <a:t> Spool with sealed end wire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enairinc-my.sharepoint.us/personal/edwinho_glenair_com/Documents/Desktop/RF%20&amp;%20HS/MI-ST/MI-ST962-032-235/MI-ST962-032-235.xlsx" TargetMode="External"/><Relationship Id="rId1" Type="http://schemas.openxmlformats.org/officeDocument/2006/relationships/externalLinkPath" Target="file:///\\glenair.com\dfs\personal\edwinho_glenair_com\Documents\Desktop\RF%20&amp;%20HS\MI-ST\MI-ST962-032-235\MI-ST962-032-23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enairinc-my.sharepoint.us/personal/lcagatin_glenair_com/Documents/Desktop/Lawrence/MIs/MI-ST963-163-26X2/MI-ST963-163-26X2_2025-03-17.xlsx" TargetMode="External"/><Relationship Id="rId1" Type="http://schemas.openxmlformats.org/officeDocument/2006/relationships/externalLinkPath" Target="https://glenairinc-my.sharepoint.us/personal/lcagatin_glenair_com/Documents/Desktop/Lawrence/MIs/MI-ST963-163-26X2/MI-ST963-163-26X2_2025-03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PTFE Tape #1"/>
      <sheetName val="PTFE Tape #2"/>
      <sheetName val="Tape Conditioning"/>
      <sheetName val="Spiral Shield"/>
      <sheetName val="Braiding"/>
      <sheetName val="SI TESTING (Post-Braid)"/>
      <sheetName val="Mixing"/>
      <sheetName val="Extrusion"/>
      <sheetName val="UV Laser Marking"/>
      <sheetName val="SI TESTING (Final)"/>
      <sheetName val="Packaging"/>
    </sheetNames>
    <sheetDataSet>
      <sheetData sheetId="0">
        <row r="2">
          <cell r="F2" t="str">
            <v>ETH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Braiding"/>
      <sheetName val="SI Testing (Post-Braid)"/>
      <sheetName val="Mixing"/>
      <sheetName val="Extrusion"/>
      <sheetName val="SI Testing (Post-Jacket)"/>
      <sheetName val="Respool"/>
      <sheetName val="Packaging"/>
    </sheetNames>
    <sheetDataSet>
      <sheetData sheetId="0">
        <row r="2">
          <cell r="F2" t="str">
            <v>SDB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6" Type="http://schemas.openxmlformats.org/officeDocument/2006/relationships/comments" Target="../comments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B37B-5319-47E7-885A-E59C23FD1044}">
  <dimension ref="A1:F27"/>
  <sheetViews>
    <sheetView view="pageLayout" zoomScale="85" zoomScaleNormal="85" zoomScalePageLayoutView="85" workbookViewId="0">
      <selection activeCell="C10" sqref="C10"/>
    </sheetView>
  </sheetViews>
  <sheetFormatPr defaultColWidth="1" defaultRowHeight="14.4" x14ac:dyDescent="0.3"/>
  <cols>
    <col min="1" max="1" width="1.33203125" style="17" customWidth="1"/>
    <col min="2" max="2" width="6" style="17" customWidth="1"/>
    <col min="3" max="3" width="67.88671875" style="17" customWidth="1"/>
    <col min="4" max="5" width="12.6640625" style="17" customWidth="1"/>
    <col min="6" max="6" width="1.33203125" style="17" customWidth="1"/>
    <col min="7" max="7" width="6.5546875" style="17" bestFit="1" customWidth="1"/>
    <col min="8" max="8" width="15.33203125" style="17" customWidth="1"/>
    <col min="9" max="9" width="6.44140625" style="17" customWidth="1"/>
    <col min="10" max="10" width="10.109375" style="17" customWidth="1"/>
    <col min="11" max="11" width="5.5546875" style="17" bestFit="1" customWidth="1"/>
    <col min="12" max="12" width="10.109375" style="17" customWidth="1"/>
    <col min="13" max="13" width="4.33203125" style="17" bestFit="1" customWidth="1"/>
    <col min="14" max="15" width="6.5546875" style="17" bestFit="1" customWidth="1"/>
    <col min="16" max="16" width="6" style="17" bestFit="1" customWidth="1"/>
    <col min="17" max="17" width="9.6640625" style="17" bestFit="1" customWidth="1"/>
    <col min="18" max="16384" width="1" style="17"/>
  </cols>
  <sheetData>
    <row r="1" spans="1:6" ht="16.5" customHeight="1" x14ac:dyDescent="0.3">
      <c r="A1" s="18"/>
      <c r="B1" s="19"/>
      <c r="C1" s="19"/>
      <c r="D1" s="119" t="s">
        <v>2</v>
      </c>
      <c r="E1" s="475" t="s">
        <v>3</v>
      </c>
      <c r="F1" s="475"/>
    </row>
    <row r="2" spans="1:6" ht="18" customHeight="1" x14ac:dyDescent="0.3">
      <c r="A2" s="20"/>
      <c r="B2" s="7"/>
      <c r="C2" s="7"/>
      <c r="D2" s="36" t="s">
        <v>187</v>
      </c>
      <c r="E2" s="476">
        <v>46097</v>
      </c>
      <c r="F2" s="477"/>
    </row>
    <row r="3" spans="1:6" ht="32.25" customHeight="1" x14ac:dyDescent="0.3">
      <c r="A3" s="22"/>
      <c r="B3" s="110"/>
      <c r="C3" s="110"/>
      <c r="D3" s="110"/>
      <c r="E3" s="110"/>
      <c r="F3" s="23"/>
    </row>
    <row r="4" spans="1:6" ht="29.25" customHeight="1" x14ac:dyDescent="0.3">
      <c r="A4" s="22"/>
      <c r="B4" s="478" t="s">
        <v>35</v>
      </c>
      <c r="C4" s="478"/>
      <c r="D4" s="478"/>
      <c r="E4" s="478"/>
      <c r="F4" s="23"/>
    </row>
    <row r="5" spans="1:6" ht="27" customHeight="1" x14ac:dyDescent="0.3">
      <c r="A5" s="22"/>
      <c r="B5" s="479" t="s">
        <v>36</v>
      </c>
      <c r="C5" s="479"/>
      <c r="D5" s="479"/>
      <c r="E5" s="479"/>
      <c r="F5" s="23"/>
    </row>
    <row r="6" spans="1:6" s="13" customFormat="1" ht="25.5" customHeight="1" x14ac:dyDescent="0.3">
      <c r="A6" s="24"/>
      <c r="B6" s="32" t="s">
        <v>38</v>
      </c>
      <c r="C6" s="35" t="s">
        <v>37</v>
      </c>
      <c r="D6" s="34" t="s">
        <v>76</v>
      </c>
      <c r="E6" s="34" t="s">
        <v>39</v>
      </c>
      <c r="F6" s="25"/>
    </row>
    <row r="7" spans="1:6" s="16" customFormat="1" ht="30.15" customHeight="1" thickBot="1" x14ac:dyDescent="0.3">
      <c r="A7" s="26"/>
      <c r="B7" s="120">
        <v>1</v>
      </c>
      <c r="C7" s="121" t="s">
        <v>77</v>
      </c>
      <c r="D7" s="14"/>
      <c r="E7" s="15"/>
      <c r="F7" s="27"/>
    </row>
    <row r="8" spans="1:6" s="16" customFormat="1" ht="30.15" customHeight="1" thickBot="1" x14ac:dyDescent="0.3">
      <c r="A8" s="26"/>
      <c r="B8" s="122">
        <v>2</v>
      </c>
      <c r="C8" s="123" t="s">
        <v>188</v>
      </c>
      <c r="D8" s="14"/>
      <c r="E8" s="15"/>
      <c r="F8" s="27"/>
    </row>
    <row r="9" spans="1:6" s="16" customFormat="1" ht="30.15" customHeight="1" thickBot="1" x14ac:dyDescent="0.3">
      <c r="A9" s="26"/>
      <c r="B9" s="124">
        <v>3</v>
      </c>
      <c r="C9" s="123" t="s">
        <v>254</v>
      </c>
      <c r="D9" s="14"/>
      <c r="E9" s="15"/>
      <c r="F9" s="27"/>
    </row>
    <row r="10" spans="1:6" s="16" customFormat="1" ht="30.15" customHeight="1" thickBot="1" x14ac:dyDescent="0.3">
      <c r="A10" s="26"/>
      <c r="B10" s="124">
        <v>4</v>
      </c>
      <c r="C10" s="123" t="s">
        <v>189</v>
      </c>
      <c r="D10" s="14"/>
      <c r="E10" s="15"/>
      <c r="F10" s="27"/>
    </row>
    <row r="11" spans="1:6" s="16" customFormat="1" ht="30.15" customHeight="1" thickBot="1" x14ac:dyDescent="0.3">
      <c r="A11" s="26"/>
      <c r="B11" s="124">
        <v>5</v>
      </c>
      <c r="C11" s="123" t="s">
        <v>190</v>
      </c>
      <c r="D11" s="14"/>
      <c r="E11" s="15"/>
      <c r="F11" s="27"/>
    </row>
    <row r="12" spans="1:6" s="16" customFormat="1" ht="30.15" customHeight="1" thickBot="1" x14ac:dyDescent="0.3">
      <c r="A12" s="26"/>
      <c r="B12" s="124">
        <v>6</v>
      </c>
      <c r="C12" s="125" t="s">
        <v>85</v>
      </c>
      <c r="D12" s="14"/>
      <c r="E12" s="15"/>
      <c r="F12" s="27"/>
    </row>
    <row r="13" spans="1:6" s="16" customFormat="1" ht="30.15" customHeight="1" thickBot="1" x14ac:dyDescent="0.3">
      <c r="A13" s="26"/>
      <c r="B13" s="124">
        <v>7</v>
      </c>
      <c r="C13" s="125" t="s">
        <v>78</v>
      </c>
      <c r="D13" s="14"/>
      <c r="E13" s="15"/>
      <c r="F13" s="27"/>
    </row>
    <row r="14" spans="1:6" s="16" customFormat="1" ht="30.15" customHeight="1" thickBot="1" x14ac:dyDescent="0.3">
      <c r="A14" s="26"/>
      <c r="B14" s="124">
        <v>8</v>
      </c>
      <c r="C14" s="125" t="s">
        <v>85</v>
      </c>
      <c r="D14" s="14"/>
      <c r="E14" s="15"/>
      <c r="F14" s="27"/>
    </row>
    <row r="15" spans="1:6" s="16" customFormat="1" ht="30.15" customHeight="1" thickBot="1" x14ac:dyDescent="0.3">
      <c r="A15" s="26"/>
      <c r="B15" s="124">
        <v>9</v>
      </c>
      <c r="C15" s="125" t="s">
        <v>79</v>
      </c>
      <c r="D15" s="14"/>
      <c r="E15" s="15"/>
      <c r="F15" s="27"/>
    </row>
    <row r="16" spans="1:6" s="16" customFormat="1" ht="30.15" customHeight="1" thickBot="1" x14ac:dyDescent="0.3">
      <c r="A16" s="26"/>
      <c r="B16" s="124">
        <v>10</v>
      </c>
      <c r="C16" s="126" t="s">
        <v>80</v>
      </c>
      <c r="D16" s="14"/>
      <c r="E16" s="15"/>
      <c r="F16" s="27"/>
    </row>
    <row r="17" spans="1:6" s="16" customFormat="1" ht="30.15" customHeight="1" thickBot="1" x14ac:dyDescent="0.3">
      <c r="A17" s="26"/>
      <c r="B17" s="124">
        <v>11</v>
      </c>
      <c r="C17" s="125" t="s">
        <v>85</v>
      </c>
      <c r="D17" s="14"/>
      <c r="E17" s="15"/>
      <c r="F17" s="27"/>
    </row>
    <row r="18" spans="1:6" s="16" customFormat="1" ht="30.15" customHeight="1" thickBot="1" x14ac:dyDescent="0.3">
      <c r="A18" s="26"/>
      <c r="B18" s="124">
        <v>12</v>
      </c>
      <c r="C18" s="126" t="s">
        <v>81</v>
      </c>
      <c r="D18" s="14"/>
      <c r="E18" s="15"/>
      <c r="F18" s="27"/>
    </row>
    <row r="19" spans="1:6" s="16" customFormat="1" ht="30.15" customHeight="1" thickBot="1" x14ac:dyDescent="0.3">
      <c r="A19" s="26"/>
      <c r="B19" s="124">
        <v>13</v>
      </c>
      <c r="C19" s="126" t="s">
        <v>82</v>
      </c>
      <c r="D19" s="14"/>
      <c r="E19" s="15"/>
      <c r="F19" s="27"/>
    </row>
    <row r="20" spans="1:6" s="16" customFormat="1" ht="30.15" customHeight="1" thickBot="1" x14ac:dyDescent="0.3">
      <c r="A20" s="26"/>
      <c r="B20" s="124">
        <v>14</v>
      </c>
      <c r="C20" s="126" t="s">
        <v>83</v>
      </c>
      <c r="D20" s="14"/>
      <c r="E20" s="15"/>
      <c r="F20" s="27"/>
    </row>
    <row r="21" spans="1:6" s="16" customFormat="1" ht="30.15" customHeight="1" thickBot="1" x14ac:dyDescent="0.3">
      <c r="A21" s="26"/>
      <c r="B21" s="124">
        <v>15</v>
      </c>
      <c r="C21" s="126" t="s">
        <v>84</v>
      </c>
      <c r="D21" s="14"/>
      <c r="E21" s="15"/>
      <c r="F21" s="27"/>
    </row>
    <row r="22" spans="1:6" s="16" customFormat="1" ht="30.15" customHeight="1" thickBot="1" x14ac:dyDescent="0.3">
      <c r="A22" s="26"/>
      <c r="B22" s="124"/>
      <c r="C22" s="37"/>
      <c r="D22" s="14"/>
      <c r="E22" s="15"/>
      <c r="F22" s="27"/>
    </row>
    <row r="23" spans="1:6" s="16" customFormat="1" ht="30.15" customHeight="1" thickBot="1" x14ac:dyDescent="0.3">
      <c r="A23" s="26"/>
      <c r="B23" s="124"/>
      <c r="C23" s="127"/>
      <c r="D23" s="14"/>
      <c r="E23" s="15"/>
      <c r="F23" s="27"/>
    </row>
    <row r="24" spans="1:6" s="16" customFormat="1" ht="30.15" customHeight="1" thickBot="1" x14ac:dyDescent="0.3">
      <c r="A24" s="26"/>
      <c r="B24" s="124"/>
      <c r="C24" s="127"/>
      <c r="D24" s="14"/>
      <c r="E24" s="15"/>
      <c r="F24" s="27"/>
    </row>
    <row r="25" spans="1:6" s="16" customFormat="1" ht="30.15" customHeight="1" thickBot="1" x14ac:dyDescent="0.3">
      <c r="A25" s="26"/>
      <c r="B25" s="124"/>
      <c r="C25" s="127"/>
      <c r="D25" s="14"/>
      <c r="E25" s="15"/>
      <c r="F25" s="27"/>
    </row>
    <row r="26" spans="1:6" s="1" customFormat="1" ht="7.5" customHeight="1" x14ac:dyDescent="0.3">
      <c r="A26" s="28"/>
      <c r="B26" s="29"/>
      <c r="C26" s="29"/>
      <c r="D26" s="29"/>
      <c r="E26" s="29"/>
      <c r="F26" s="30"/>
    </row>
    <row r="27" spans="1:6" ht="7.5" customHeight="1" x14ac:dyDescent="0.3"/>
  </sheetData>
  <mergeCells count="4">
    <mergeCell ref="E1:F1"/>
    <mergeCell ref="E2:F2"/>
    <mergeCell ref="B4:E4"/>
    <mergeCell ref="B5:E5"/>
  </mergeCells>
  <pageMargins left="0.24" right="0.24" top="0.55000000000000004" bottom="0.1" header="0.2" footer="0"/>
  <pageSetup fitToWidth="0" fitToHeight="0" orientation="portrait" r:id="rId1"/>
  <headerFooter scaleWithDoc="0">
    <oddHeader>&amp;L&amp;"Arial,Bold"&amp;18COVER SHEET&amp;R&amp;"Arial,Bold"&amp;18&amp;F</oddHeader>
  </headerFooter>
  <rowBreaks count="1" manualBreakCount="1">
    <brk id="26" max="16383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057E-C493-4C5C-AAC0-A1FD4C3834A4}">
  <sheetPr>
    <pageSetUpPr fitToPage="1"/>
  </sheetPr>
  <dimension ref="A1:V54"/>
  <sheetViews>
    <sheetView tabSelected="1" view="pageLayout" zoomScaleNormal="130" zoomScaleSheetLayoutView="220" workbookViewId="0">
      <selection activeCell="D33" sqref="D33:F33"/>
    </sheetView>
  </sheetViews>
  <sheetFormatPr defaultColWidth="3.109375" defaultRowHeight="14.4" x14ac:dyDescent="0.3"/>
  <cols>
    <col min="1" max="1" width="1" style="31" customWidth="1"/>
    <col min="2" max="2" width="17.33203125" style="31" customWidth="1"/>
    <col min="3" max="3" width="8.6640625" style="31" customWidth="1"/>
    <col min="4" max="6" width="10.33203125" style="31" customWidth="1"/>
    <col min="7" max="7" width="3.6640625" style="31" customWidth="1"/>
    <col min="8" max="8" width="16" style="31" customWidth="1"/>
    <col min="9" max="9" width="10.88671875" style="31" customWidth="1"/>
    <col min="10" max="10" width="12.6640625" style="31" customWidth="1"/>
    <col min="11" max="11" width="1" style="31" customWidth="1"/>
    <col min="12" max="12" width="9.33203125" style="31" customWidth="1"/>
    <col min="13" max="16384" width="3.109375" style="31"/>
  </cols>
  <sheetData>
    <row r="1" spans="1:21" ht="15.75" customHeight="1" x14ac:dyDescent="0.3">
      <c r="A1" s="538" t="s">
        <v>0</v>
      </c>
      <c r="B1" s="539"/>
      <c r="C1" s="539"/>
      <c r="D1" s="540"/>
      <c r="E1" s="538" t="s">
        <v>1</v>
      </c>
      <c r="F1" s="539"/>
      <c r="G1" s="539"/>
      <c r="H1" s="540"/>
      <c r="I1" s="327" t="s">
        <v>2</v>
      </c>
      <c r="J1" s="541" t="s">
        <v>3</v>
      </c>
      <c r="K1" s="541"/>
    </row>
    <row r="2" spans="1:21" ht="18.149999999999999" customHeight="1" x14ac:dyDescent="0.3">
      <c r="A2" s="542" t="s">
        <v>235</v>
      </c>
      <c r="B2" s="543"/>
      <c r="C2" s="543"/>
      <c r="D2" s="544"/>
      <c r="E2" s="545" t="s">
        <v>191</v>
      </c>
      <c r="F2" s="546"/>
      <c r="G2" s="546"/>
      <c r="H2" s="547"/>
      <c r="I2" s="61" t="str">
        <f>'Cover Sheet'!D2</f>
        <v>CDC</v>
      </c>
      <c r="J2" s="548">
        <f>'Cover Sheet'!E2</f>
        <v>46097</v>
      </c>
      <c r="K2" s="549"/>
    </row>
    <row r="3" spans="1:21" ht="3.6" customHeight="1" x14ac:dyDescent="0.3">
      <c r="A3" s="54"/>
      <c r="B3" s="39"/>
      <c r="C3" s="39"/>
      <c r="D3" s="39"/>
      <c r="E3" s="39"/>
      <c r="F3" s="39"/>
      <c r="G3" s="40"/>
      <c r="H3" s="40"/>
      <c r="I3" s="40"/>
      <c r="J3" s="40"/>
      <c r="K3" s="55"/>
    </row>
    <row r="4" spans="1:21" s="3" customFormat="1" ht="18.600000000000001" customHeight="1" x14ac:dyDescent="0.3">
      <c r="A4" s="20"/>
      <c r="B4" s="524" t="s">
        <v>19</v>
      </c>
      <c r="C4" s="524"/>
      <c r="D4" s="524"/>
      <c r="E4" s="524"/>
      <c r="F4" s="524"/>
      <c r="G4" s="7"/>
      <c r="H4" s="453" t="s">
        <v>192</v>
      </c>
      <c r="I4" s="453"/>
      <c r="J4" s="453"/>
      <c r="K4" s="21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342" customFormat="1" ht="18.600000000000001" customHeight="1" x14ac:dyDescent="0.3">
      <c r="A5" s="341"/>
      <c r="B5" s="525" t="s">
        <v>12</v>
      </c>
      <c r="C5" s="526"/>
      <c r="D5" s="527" t="s">
        <v>4</v>
      </c>
      <c r="E5" s="528"/>
      <c r="F5" s="529"/>
      <c r="H5" s="343"/>
      <c r="I5" s="343"/>
      <c r="J5" s="343"/>
      <c r="K5" s="344"/>
    </row>
    <row r="6" spans="1:21" s="3" customFormat="1" ht="18.600000000000001" customHeight="1" x14ac:dyDescent="0.3">
      <c r="A6" s="57"/>
      <c r="B6" s="504" t="s">
        <v>193</v>
      </c>
      <c r="C6" s="505"/>
      <c r="D6" s="530" t="s">
        <v>97</v>
      </c>
      <c r="E6" s="531"/>
      <c r="F6" s="532"/>
      <c r="G6" s="533" t="s">
        <v>89</v>
      </c>
      <c r="H6" s="458"/>
      <c r="I6" s="534"/>
      <c r="J6" s="535"/>
      <c r="K6" s="58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3" customFormat="1" ht="18.600000000000001" customHeight="1" thickBot="1" x14ac:dyDescent="0.35">
      <c r="A7" s="57"/>
      <c r="B7" s="504" t="s">
        <v>194</v>
      </c>
      <c r="C7" s="505"/>
      <c r="D7" s="506" t="s">
        <v>230</v>
      </c>
      <c r="E7" s="507"/>
      <c r="F7" s="508"/>
      <c r="G7" s="533"/>
      <c r="H7" s="458"/>
      <c r="I7" s="536"/>
      <c r="J7" s="537"/>
      <c r="K7" s="58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3" customFormat="1" ht="18.600000000000001" customHeight="1" x14ac:dyDescent="0.3">
      <c r="A8" s="57"/>
      <c r="B8" s="504" t="s">
        <v>195</v>
      </c>
      <c r="C8" s="505"/>
      <c r="D8" s="506" t="s">
        <v>231</v>
      </c>
      <c r="E8" s="507"/>
      <c r="F8" s="508"/>
      <c r="H8" s="43"/>
      <c r="I8" s="43"/>
      <c r="K8" s="58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x14ac:dyDescent="0.3">
      <c r="A9" s="45"/>
      <c r="B9" s="109"/>
      <c r="C9" s="109"/>
      <c r="D9" s="114" t="s">
        <v>6</v>
      </c>
      <c r="E9" s="114" t="s">
        <v>7</v>
      </c>
      <c r="F9" s="114" t="s">
        <v>8</v>
      </c>
      <c r="G9" s="46"/>
      <c r="H9" s="114" t="s">
        <v>9</v>
      </c>
      <c r="I9" s="114" t="s">
        <v>10</v>
      </c>
      <c r="J9" s="114" t="s">
        <v>3</v>
      </c>
      <c r="K9" s="47"/>
    </row>
    <row r="10" spans="1:21" s="349" customFormat="1" ht="15.75" customHeight="1" thickBot="1" x14ac:dyDescent="0.35">
      <c r="A10" s="345"/>
      <c r="B10" s="481" t="s">
        <v>196</v>
      </c>
      <c r="C10" s="482"/>
      <c r="D10" s="346">
        <v>2.8400000000000002E-2</v>
      </c>
      <c r="E10" s="346">
        <v>2.87E-2</v>
      </c>
      <c r="F10" s="346">
        <v>2.9000000000000001E-2</v>
      </c>
      <c r="G10" s="7"/>
      <c r="H10" s="135"/>
      <c r="I10" s="509"/>
      <c r="J10" s="509"/>
      <c r="K10" s="347"/>
      <c r="L10" s="348"/>
      <c r="M10" s="348"/>
      <c r="N10" s="348"/>
      <c r="O10" s="348"/>
      <c r="P10" s="348"/>
      <c r="Q10" s="348"/>
      <c r="R10" s="348"/>
      <c r="S10" s="348"/>
      <c r="T10" s="348"/>
      <c r="U10" s="348"/>
    </row>
    <row r="11" spans="1:21" s="349" customFormat="1" ht="3.6" customHeight="1" x14ac:dyDescent="0.3">
      <c r="A11" s="350"/>
      <c r="B11" s="516"/>
      <c r="C11" s="516"/>
      <c r="D11" s="351"/>
      <c r="E11" s="351"/>
      <c r="F11" s="351"/>
      <c r="G11" s="7"/>
      <c r="H11" s="7"/>
      <c r="I11" s="509"/>
      <c r="J11" s="509"/>
      <c r="K11" s="347"/>
      <c r="L11" s="348"/>
      <c r="M11" s="348"/>
      <c r="N11" s="348"/>
      <c r="O11" s="348"/>
      <c r="P11" s="348"/>
      <c r="Q11" s="348"/>
      <c r="R11" s="348"/>
      <c r="S11" s="348"/>
      <c r="T11" s="348"/>
      <c r="U11" s="348"/>
    </row>
    <row r="12" spans="1:21" s="349" customFormat="1" ht="15.75" customHeight="1" thickBot="1" x14ac:dyDescent="0.35">
      <c r="A12" s="350"/>
      <c r="B12" s="499" t="s">
        <v>16</v>
      </c>
      <c r="C12" s="500"/>
      <c r="D12" s="352" t="s">
        <v>97</v>
      </c>
      <c r="E12" s="352">
        <v>6.85</v>
      </c>
      <c r="F12" s="352" t="s">
        <v>97</v>
      </c>
      <c r="G12" s="7"/>
      <c r="H12" s="135"/>
      <c r="I12" s="509"/>
      <c r="J12" s="509"/>
      <c r="K12" s="347"/>
      <c r="L12" s="348"/>
      <c r="M12" s="348"/>
      <c r="N12" s="348"/>
      <c r="O12" s="348"/>
      <c r="P12" s="348"/>
      <c r="Q12" s="348"/>
      <c r="R12" s="348"/>
      <c r="S12" s="348"/>
      <c r="T12" s="348"/>
      <c r="U12" s="348"/>
    </row>
    <row r="13" spans="1:21" s="349" customFormat="1" ht="15.75" customHeight="1" thickBot="1" x14ac:dyDescent="0.35">
      <c r="A13" s="350"/>
      <c r="B13" s="499" t="s">
        <v>197</v>
      </c>
      <c r="C13" s="500"/>
      <c r="D13" s="517" t="s">
        <v>97</v>
      </c>
      <c r="E13" s="518"/>
      <c r="F13" s="519"/>
      <c r="G13" s="7"/>
      <c r="H13" s="142"/>
      <c r="I13" s="509"/>
      <c r="J13" s="509"/>
      <c r="K13" s="347"/>
      <c r="L13" s="348"/>
      <c r="M13" s="348"/>
      <c r="N13" s="348"/>
      <c r="O13" s="348"/>
      <c r="P13" s="348"/>
      <c r="Q13" s="348"/>
      <c r="R13" s="348"/>
      <c r="S13" s="348"/>
      <c r="T13" s="348"/>
      <c r="U13" s="348"/>
    </row>
    <row r="14" spans="1:21" s="349" customFormat="1" ht="15.75" customHeight="1" thickBot="1" x14ac:dyDescent="0.35">
      <c r="A14" s="350"/>
      <c r="B14" s="499" t="s">
        <v>198</v>
      </c>
      <c r="C14" s="500"/>
      <c r="D14" s="353" t="s">
        <v>97</v>
      </c>
      <c r="E14" s="354" t="s">
        <v>97</v>
      </c>
      <c r="F14" s="353" t="s">
        <v>97</v>
      </c>
      <c r="G14" s="7"/>
      <c r="H14" s="142"/>
      <c r="I14" s="509"/>
      <c r="J14" s="509"/>
      <c r="K14" s="347"/>
      <c r="L14" s="348"/>
      <c r="M14" s="348"/>
      <c r="N14" s="348"/>
      <c r="O14" s="348"/>
      <c r="P14" s="348"/>
      <c r="Q14" s="348"/>
      <c r="R14" s="348"/>
      <c r="S14" s="348"/>
      <c r="T14" s="348"/>
      <c r="U14" s="348"/>
    </row>
    <row r="15" spans="1:21" s="349" customFormat="1" ht="15.75" customHeight="1" thickBot="1" x14ac:dyDescent="0.35">
      <c r="A15" s="350"/>
      <c r="B15" s="511" t="s">
        <v>199</v>
      </c>
      <c r="C15" s="512"/>
      <c r="D15" s="353" t="s">
        <v>97</v>
      </c>
      <c r="E15" s="355" t="s">
        <v>97</v>
      </c>
      <c r="F15" s="353" t="s">
        <v>97</v>
      </c>
      <c r="G15" s="7"/>
      <c r="H15" s="142"/>
      <c r="I15" s="509"/>
      <c r="J15" s="509"/>
      <c r="K15" s="347"/>
      <c r="L15" s="348"/>
      <c r="M15" s="348"/>
      <c r="N15" s="348"/>
      <c r="O15" s="348"/>
      <c r="P15" s="348"/>
      <c r="Q15" s="348"/>
      <c r="R15" s="348"/>
      <c r="S15" s="348"/>
      <c r="T15" s="348"/>
      <c r="U15" s="348"/>
    </row>
    <row r="16" spans="1:21" s="349" customFormat="1" ht="15.75" customHeight="1" thickBot="1" x14ac:dyDescent="0.35">
      <c r="A16" s="350"/>
      <c r="B16" s="513" t="s">
        <v>200</v>
      </c>
      <c r="C16" s="514"/>
      <c r="D16" s="353" t="s">
        <v>97</v>
      </c>
      <c r="E16" s="326" t="s">
        <v>97</v>
      </c>
      <c r="F16" s="353" t="s">
        <v>97</v>
      </c>
      <c r="G16" s="7"/>
      <c r="H16" s="142"/>
      <c r="I16" s="509"/>
      <c r="J16" s="509"/>
      <c r="K16" s="347"/>
      <c r="L16" s="348"/>
      <c r="M16" s="348"/>
      <c r="N16" s="348"/>
      <c r="O16" s="348"/>
      <c r="P16" s="348"/>
      <c r="Q16" s="348"/>
      <c r="R16" s="348"/>
      <c r="S16" s="348"/>
      <c r="T16" s="348"/>
      <c r="U16" s="348"/>
    </row>
    <row r="17" spans="1:22" s="349" customFormat="1" ht="15.75" customHeight="1" thickBot="1" x14ac:dyDescent="0.35">
      <c r="A17" s="350"/>
      <c r="B17" s="499" t="s">
        <v>201</v>
      </c>
      <c r="C17" s="500"/>
      <c r="D17" s="353" t="s">
        <v>97</v>
      </c>
      <c r="E17" s="383">
        <v>0.2</v>
      </c>
      <c r="F17" s="353" t="s">
        <v>97</v>
      </c>
      <c r="G17" s="7"/>
      <c r="H17" s="142"/>
      <c r="I17" s="509"/>
      <c r="J17" s="509"/>
      <c r="K17" s="347"/>
      <c r="L17" s="348"/>
      <c r="M17" s="348"/>
      <c r="N17" s="348"/>
      <c r="O17" s="348"/>
      <c r="P17" s="348"/>
      <c r="Q17" s="348"/>
      <c r="R17" s="348"/>
      <c r="S17" s="348"/>
      <c r="T17" s="348"/>
      <c r="U17" s="348"/>
    </row>
    <row r="18" spans="1:22" s="349" customFormat="1" ht="15.75" customHeight="1" thickBot="1" x14ac:dyDescent="0.35">
      <c r="A18" s="350"/>
      <c r="B18" s="499" t="s">
        <v>202</v>
      </c>
      <c r="C18" s="500"/>
      <c r="D18" s="353" t="s">
        <v>97</v>
      </c>
      <c r="E18" s="183">
        <v>10</v>
      </c>
      <c r="F18" s="353" t="s">
        <v>97</v>
      </c>
      <c r="G18" s="7"/>
      <c r="H18" s="142"/>
      <c r="I18" s="509"/>
      <c r="J18" s="509"/>
      <c r="K18" s="347"/>
      <c r="L18" s="348"/>
      <c r="M18" s="348"/>
      <c r="N18" s="348"/>
      <c r="O18" s="348"/>
      <c r="P18" s="348"/>
      <c r="Q18" s="348"/>
      <c r="R18" s="348"/>
      <c r="S18" s="348"/>
      <c r="T18" s="348"/>
      <c r="U18" s="348"/>
    </row>
    <row r="19" spans="1:22" s="349" customFormat="1" ht="15.75" customHeight="1" thickBot="1" x14ac:dyDescent="0.35">
      <c r="A19" s="350"/>
      <c r="B19" s="499" t="s">
        <v>203</v>
      </c>
      <c r="C19" s="500"/>
      <c r="D19" s="353" t="s">
        <v>97</v>
      </c>
      <c r="E19" s="354">
        <v>0.2</v>
      </c>
      <c r="F19" s="353" t="s">
        <v>97</v>
      </c>
      <c r="G19" s="7"/>
      <c r="H19" s="142"/>
      <c r="I19" s="509"/>
      <c r="J19" s="509"/>
      <c r="K19" s="347"/>
      <c r="L19" s="348"/>
      <c r="M19" s="348"/>
      <c r="N19" s="348"/>
      <c r="O19" s="348"/>
      <c r="P19" s="348"/>
      <c r="Q19" s="348"/>
      <c r="R19" s="348"/>
      <c r="S19" s="348"/>
      <c r="T19" s="348"/>
      <c r="U19" s="348"/>
    </row>
    <row r="20" spans="1:22" s="349" customFormat="1" ht="3.6" customHeight="1" x14ac:dyDescent="0.3">
      <c r="A20" s="345"/>
      <c r="B20" s="520"/>
      <c r="C20" s="520"/>
      <c r="D20" s="356"/>
      <c r="E20" s="356"/>
      <c r="F20" s="356"/>
      <c r="G20" s="7"/>
      <c r="H20" s="7"/>
      <c r="I20" s="509"/>
      <c r="J20" s="509"/>
      <c r="K20" s="347"/>
      <c r="L20" s="348"/>
      <c r="M20" s="348"/>
      <c r="N20" s="348"/>
      <c r="O20" s="348"/>
      <c r="P20" s="348"/>
      <c r="Q20" s="348"/>
      <c r="R20" s="348"/>
      <c r="S20" s="348"/>
      <c r="T20" s="348"/>
      <c r="U20" s="348"/>
    </row>
    <row r="21" spans="1:22" s="349" customFormat="1" ht="15.75" customHeight="1" thickBot="1" x14ac:dyDescent="0.35">
      <c r="A21" s="350"/>
      <c r="B21" s="499" t="s">
        <v>204</v>
      </c>
      <c r="C21" s="500"/>
      <c r="D21" s="486" t="s">
        <v>97</v>
      </c>
      <c r="E21" s="487"/>
      <c r="F21" s="488"/>
      <c r="G21" s="7"/>
      <c r="H21" s="135"/>
      <c r="I21" s="509"/>
      <c r="J21" s="509"/>
      <c r="K21" s="347"/>
      <c r="L21" s="348"/>
      <c r="M21" s="348"/>
      <c r="N21" s="348"/>
      <c r="O21" s="348"/>
      <c r="P21" s="348"/>
      <c r="Q21" s="348"/>
      <c r="R21" s="348"/>
      <c r="S21" s="348"/>
      <c r="T21" s="348"/>
      <c r="U21" s="348"/>
    </row>
    <row r="22" spans="1:22" s="349" customFormat="1" ht="15.75" customHeight="1" thickBot="1" x14ac:dyDescent="0.35">
      <c r="A22" s="350"/>
      <c r="B22" s="499" t="s">
        <v>205</v>
      </c>
      <c r="C22" s="500"/>
      <c r="D22" s="357" t="s">
        <v>97</v>
      </c>
      <c r="E22" s="358" t="s">
        <v>97</v>
      </c>
      <c r="F22" s="353" t="s">
        <v>97</v>
      </c>
      <c r="G22" s="7"/>
      <c r="H22" s="142"/>
      <c r="I22" s="509"/>
      <c r="J22" s="509"/>
      <c r="K22" s="347"/>
      <c r="L22" s="348"/>
      <c r="M22" s="348"/>
      <c r="N22" s="348"/>
      <c r="O22" s="348"/>
      <c r="P22" s="348"/>
      <c r="Q22" s="348"/>
      <c r="R22" s="348"/>
      <c r="S22" s="348"/>
      <c r="T22" s="348"/>
      <c r="U22" s="348"/>
    </row>
    <row r="23" spans="1:22" s="349" customFormat="1" ht="15.75" customHeight="1" thickBot="1" x14ac:dyDescent="0.35">
      <c r="A23" s="350"/>
      <c r="B23" s="499" t="s">
        <v>206</v>
      </c>
      <c r="C23" s="500"/>
      <c r="D23" s="515" t="s">
        <v>97</v>
      </c>
      <c r="E23" s="487"/>
      <c r="F23" s="488"/>
      <c r="G23" s="7"/>
      <c r="H23" s="142"/>
      <c r="I23" s="509"/>
      <c r="J23" s="509"/>
      <c r="K23" s="347"/>
      <c r="L23" s="348"/>
      <c r="M23" s="348"/>
      <c r="N23" s="348"/>
      <c r="O23" s="348"/>
      <c r="P23" s="348"/>
      <c r="Q23" s="348"/>
      <c r="R23" s="348"/>
      <c r="S23" s="348"/>
      <c r="T23" s="348"/>
      <c r="U23" s="348"/>
    </row>
    <row r="24" spans="1:22" s="349" customFormat="1" ht="15.75" customHeight="1" thickBot="1" x14ac:dyDescent="0.4">
      <c r="A24" s="350"/>
      <c r="B24" s="489" t="s">
        <v>207</v>
      </c>
      <c r="C24" s="490"/>
      <c r="D24" s="353" t="s">
        <v>97</v>
      </c>
      <c r="E24" s="359" t="s">
        <v>97</v>
      </c>
      <c r="F24" s="353" t="s">
        <v>97</v>
      </c>
      <c r="G24" s="7"/>
      <c r="H24" s="142"/>
      <c r="I24" s="509"/>
      <c r="J24" s="509"/>
      <c r="K24" s="347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8"/>
    </row>
    <row r="25" spans="1:22" s="349" customFormat="1" ht="15.75" customHeight="1" thickBot="1" x14ac:dyDescent="0.4">
      <c r="A25" s="350"/>
      <c r="B25" s="489" t="s">
        <v>208</v>
      </c>
      <c r="C25" s="489"/>
      <c r="D25" s="521" t="s">
        <v>97</v>
      </c>
      <c r="E25" s="522"/>
      <c r="F25" s="523"/>
      <c r="G25" s="7"/>
      <c r="H25" s="142"/>
      <c r="I25" s="509"/>
      <c r="J25" s="509"/>
      <c r="K25" s="347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8"/>
    </row>
    <row r="26" spans="1:22" s="349" customFormat="1" ht="3.6" customHeight="1" x14ac:dyDescent="0.3">
      <c r="A26" s="345"/>
      <c r="B26" s="483"/>
      <c r="C26" s="483"/>
      <c r="D26" s="360"/>
      <c r="E26" s="360"/>
      <c r="F26" s="360"/>
      <c r="G26" s="7"/>
      <c r="H26" s="7"/>
      <c r="I26" s="509"/>
      <c r="J26" s="509"/>
      <c r="K26" s="347"/>
      <c r="L26" s="348"/>
      <c r="M26" s="348"/>
      <c r="N26" s="348"/>
      <c r="O26" s="348"/>
      <c r="P26" s="348"/>
      <c r="Q26" s="348"/>
      <c r="R26" s="348"/>
      <c r="S26" s="348"/>
      <c r="T26" s="348"/>
      <c r="U26" s="348"/>
    </row>
    <row r="27" spans="1:22" s="349" customFormat="1" ht="15.75" customHeight="1" thickBot="1" x14ac:dyDescent="0.35">
      <c r="A27" s="345"/>
      <c r="B27" s="481" t="s">
        <v>210</v>
      </c>
      <c r="C27" s="482"/>
      <c r="D27" s="346">
        <v>2.8400000000000002E-2</v>
      </c>
      <c r="E27" s="346">
        <v>2.87E-2</v>
      </c>
      <c r="F27" s="346">
        <v>2.9000000000000001E-2</v>
      </c>
      <c r="G27" s="7"/>
      <c r="H27" s="135"/>
      <c r="I27" s="509"/>
      <c r="J27" s="509"/>
      <c r="K27" s="347"/>
      <c r="L27" s="348"/>
      <c r="M27" s="348"/>
      <c r="N27" s="348"/>
      <c r="O27" s="348"/>
      <c r="P27" s="348"/>
      <c r="Q27" s="348"/>
      <c r="R27" s="348"/>
      <c r="S27" s="348"/>
      <c r="T27" s="348"/>
      <c r="U27" s="348"/>
    </row>
    <row r="28" spans="1:22" s="349" customFormat="1" ht="3.6" customHeight="1" x14ac:dyDescent="0.3">
      <c r="A28" s="345"/>
      <c r="B28" s="483"/>
      <c r="C28" s="483"/>
      <c r="D28" s="362"/>
      <c r="E28" s="362"/>
      <c r="F28" s="362"/>
      <c r="G28" s="7"/>
      <c r="H28" s="7"/>
      <c r="I28" s="509"/>
      <c r="J28" s="509"/>
      <c r="K28" s="347"/>
      <c r="L28" s="348"/>
      <c r="M28" s="348"/>
      <c r="N28" s="348"/>
      <c r="O28" s="348"/>
      <c r="P28" s="348"/>
      <c r="Q28" s="348"/>
      <c r="R28" s="348"/>
      <c r="S28" s="348"/>
      <c r="T28" s="348"/>
      <c r="U28" s="348"/>
    </row>
    <row r="29" spans="1:22" s="349" customFormat="1" ht="15.75" customHeight="1" thickBot="1" x14ac:dyDescent="0.35">
      <c r="A29" s="350"/>
      <c r="B29" s="499" t="s">
        <v>211</v>
      </c>
      <c r="C29" s="500"/>
      <c r="D29" s="486" t="s">
        <v>28</v>
      </c>
      <c r="E29" s="487"/>
      <c r="F29" s="488"/>
      <c r="G29" s="7"/>
      <c r="H29" s="135"/>
      <c r="I29" s="509"/>
      <c r="J29" s="509"/>
      <c r="K29" s="347"/>
      <c r="L29" s="348"/>
      <c r="M29" s="348"/>
      <c r="N29" s="348"/>
      <c r="O29" s="348"/>
      <c r="P29" s="348"/>
      <c r="Q29" s="348"/>
      <c r="R29" s="348"/>
      <c r="S29" s="348"/>
      <c r="T29" s="348"/>
      <c r="U29" s="348"/>
    </row>
    <row r="30" spans="1:22" s="349" customFormat="1" ht="15.75" customHeight="1" thickBot="1" x14ac:dyDescent="0.35">
      <c r="A30" s="350"/>
      <c r="B30" s="499" t="s">
        <v>212</v>
      </c>
      <c r="C30" s="500"/>
      <c r="D30" s="353" t="s">
        <v>97</v>
      </c>
      <c r="E30" s="358">
        <v>0.1065</v>
      </c>
      <c r="F30" s="353" t="s">
        <v>97</v>
      </c>
      <c r="G30" s="7"/>
      <c r="H30" s="142"/>
      <c r="I30" s="509"/>
      <c r="J30" s="509"/>
      <c r="K30" s="347"/>
      <c r="L30" s="348"/>
      <c r="M30" s="348"/>
      <c r="N30" s="348"/>
      <c r="O30" s="348"/>
      <c r="P30" s="348"/>
      <c r="Q30" s="348"/>
      <c r="R30" s="348"/>
      <c r="S30" s="348"/>
      <c r="T30" s="348"/>
      <c r="U30" s="348"/>
    </row>
    <row r="31" spans="1:22" s="349" customFormat="1" ht="15.75" customHeight="1" thickBot="1" x14ac:dyDescent="0.35">
      <c r="A31" s="350"/>
      <c r="B31" s="499" t="s">
        <v>213</v>
      </c>
      <c r="C31" s="500"/>
      <c r="D31" s="486" t="s">
        <v>44</v>
      </c>
      <c r="E31" s="487"/>
      <c r="F31" s="488"/>
      <c r="G31" s="7"/>
      <c r="H31" s="142"/>
      <c r="I31" s="509"/>
      <c r="J31" s="509"/>
      <c r="K31" s="347"/>
      <c r="L31" s="348"/>
      <c r="M31" s="348"/>
      <c r="N31" s="348"/>
      <c r="O31" s="348"/>
      <c r="P31" s="348"/>
      <c r="Q31" s="348"/>
      <c r="R31" s="348"/>
      <c r="S31" s="348"/>
      <c r="T31" s="348"/>
      <c r="U31" s="348"/>
    </row>
    <row r="32" spans="1:22" s="349" customFormat="1" ht="15.75" customHeight="1" thickBot="1" x14ac:dyDescent="0.4">
      <c r="A32" s="350"/>
      <c r="B32" s="489" t="s">
        <v>214</v>
      </c>
      <c r="C32" s="490"/>
      <c r="D32" s="353" t="s">
        <v>97</v>
      </c>
      <c r="E32" s="363">
        <v>4</v>
      </c>
      <c r="F32" s="353" t="s">
        <v>97</v>
      </c>
      <c r="G32" s="7"/>
      <c r="H32" s="142"/>
      <c r="I32" s="509"/>
      <c r="J32" s="509"/>
      <c r="K32" s="347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8"/>
    </row>
    <row r="33" spans="1:22" s="349" customFormat="1" ht="15.75" customHeight="1" thickBot="1" x14ac:dyDescent="0.4">
      <c r="A33" s="350"/>
      <c r="B33" s="489" t="s">
        <v>215</v>
      </c>
      <c r="C33" s="489"/>
      <c r="D33" s="501" t="s">
        <v>233</v>
      </c>
      <c r="E33" s="502"/>
      <c r="F33" s="503"/>
      <c r="G33" s="7"/>
      <c r="H33" s="142"/>
      <c r="I33" s="509"/>
      <c r="J33" s="509"/>
      <c r="K33" s="347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8"/>
    </row>
    <row r="34" spans="1:22" s="349" customFormat="1" ht="3.6" customHeight="1" x14ac:dyDescent="0.3">
      <c r="A34" s="345"/>
      <c r="B34" s="483"/>
      <c r="C34" s="483"/>
      <c r="D34" s="364"/>
      <c r="E34" s="364"/>
      <c r="F34" s="356"/>
      <c r="G34" s="7"/>
      <c r="H34" s="7"/>
      <c r="I34" s="509"/>
      <c r="J34" s="509"/>
      <c r="K34" s="347"/>
      <c r="L34" s="348"/>
      <c r="M34" s="348"/>
      <c r="N34" s="348"/>
      <c r="O34" s="348"/>
      <c r="P34" s="348"/>
      <c r="Q34" s="348"/>
      <c r="R34" s="348"/>
      <c r="S34" s="348"/>
      <c r="T34" s="348"/>
      <c r="U34" s="348"/>
    </row>
    <row r="35" spans="1:22" s="349" customFormat="1" ht="15.75" customHeight="1" thickBot="1" x14ac:dyDescent="0.35">
      <c r="A35" s="345"/>
      <c r="B35" s="481" t="s">
        <v>216</v>
      </c>
      <c r="C35" s="482"/>
      <c r="D35" s="361" t="s">
        <v>97</v>
      </c>
      <c r="E35" s="361">
        <v>4.1000000000000002E-2</v>
      </c>
      <c r="F35" s="361" t="s">
        <v>97</v>
      </c>
      <c r="G35" s="7"/>
      <c r="H35" s="135"/>
      <c r="I35" s="509"/>
      <c r="J35" s="509"/>
      <c r="K35" s="347"/>
      <c r="L35" s="348"/>
      <c r="M35" s="348"/>
      <c r="N35" s="348"/>
      <c r="O35" s="348"/>
      <c r="P35" s="348"/>
      <c r="Q35" s="348"/>
      <c r="R35" s="348"/>
      <c r="S35" s="348"/>
      <c r="T35" s="348"/>
      <c r="U35" s="348"/>
    </row>
    <row r="36" spans="1:22" s="349" customFormat="1" ht="3.6" customHeight="1" x14ac:dyDescent="0.3">
      <c r="A36" s="345"/>
      <c r="B36" s="483"/>
      <c r="C36" s="483"/>
      <c r="D36" s="362"/>
      <c r="E36" s="362"/>
      <c r="F36" s="362"/>
      <c r="G36" s="7"/>
      <c r="H36" s="7"/>
      <c r="I36" s="509"/>
      <c r="J36" s="509"/>
      <c r="K36" s="347"/>
      <c r="L36" s="348"/>
      <c r="M36" s="348"/>
      <c r="N36" s="348"/>
      <c r="O36" s="348"/>
      <c r="P36" s="348"/>
      <c r="Q36" s="348"/>
      <c r="R36" s="348"/>
      <c r="S36" s="348"/>
      <c r="T36" s="348"/>
      <c r="U36" s="348"/>
    </row>
    <row r="37" spans="1:22" s="349" customFormat="1" ht="15.75" customHeight="1" thickBot="1" x14ac:dyDescent="0.35">
      <c r="A37" s="350"/>
      <c r="B37" s="499" t="s">
        <v>217</v>
      </c>
      <c r="C37" s="500"/>
      <c r="D37" s="486" t="s">
        <v>101</v>
      </c>
      <c r="E37" s="487"/>
      <c r="F37" s="488"/>
      <c r="G37" s="7"/>
      <c r="H37" s="135"/>
      <c r="I37" s="509"/>
      <c r="J37" s="509"/>
      <c r="K37" s="347"/>
      <c r="L37" s="348"/>
      <c r="M37" s="348"/>
      <c r="N37" s="348"/>
      <c r="O37" s="348"/>
      <c r="P37" s="348"/>
      <c r="Q37" s="348"/>
      <c r="R37" s="348"/>
      <c r="S37" s="348"/>
      <c r="T37" s="348"/>
      <c r="U37" s="348"/>
    </row>
    <row r="38" spans="1:22" s="349" customFormat="1" ht="15.75" customHeight="1" thickBot="1" x14ac:dyDescent="0.35">
      <c r="A38" s="350"/>
      <c r="B38" s="499" t="s">
        <v>218</v>
      </c>
      <c r="C38" s="500"/>
      <c r="D38" s="353" t="s">
        <v>97</v>
      </c>
      <c r="E38" s="358">
        <v>0.14000000000000001</v>
      </c>
      <c r="F38" s="353" t="s">
        <v>97</v>
      </c>
      <c r="G38" s="7"/>
      <c r="H38" s="142"/>
      <c r="I38" s="509"/>
      <c r="J38" s="509"/>
      <c r="K38" s="347"/>
      <c r="L38" s="348"/>
      <c r="M38" s="348"/>
      <c r="N38" s="348"/>
      <c r="O38" s="348"/>
      <c r="P38" s="348"/>
      <c r="Q38" s="348"/>
      <c r="R38" s="348"/>
      <c r="S38" s="348"/>
      <c r="T38" s="348"/>
      <c r="U38" s="348"/>
    </row>
    <row r="39" spans="1:22" s="349" customFormat="1" ht="15.75" customHeight="1" thickBot="1" x14ac:dyDescent="0.35">
      <c r="A39" s="350"/>
      <c r="B39" s="499" t="s">
        <v>219</v>
      </c>
      <c r="C39" s="500"/>
      <c r="D39" s="486" t="s">
        <v>44</v>
      </c>
      <c r="E39" s="487"/>
      <c r="F39" s="488"/>
      <c r="G39" s="7"/>
      <c r="H39" s="142"/>
      <c r="I39" s="509"/>
      <c r="J39" s="509"/>
      <c r="K39" s="347"/>
      <c r="L39" s="348"/>
      <c r="M39" s="348"/>
      <c r="N39" s="348"/>
      <c r="O39" s="348"/>
      <c r="P39" s="348"/>
      <c r="Q39" s="348"/>
      <c r="R39" s="348"/>
      <c r="S39" s="348"/>
      <c r="T39" s="348"/>
      <c r="U39" s="348"/>
    </row>
    <row r="40" spans="1:22" s="349" customFormat="1" ht="15.75" customHeight="1" thickBot="1" x14ac:dyDescent="0.4">
      <c r="A40" s="350"/>
      <c r="B40" s="489" t="s">
        <v>220</v>
      </c>
      <c r="C40" s="490"/>
      <c r="D40" s="353" t="s">
        <v>97</v>
      </c>
      <c r="E40" s="363">
        <v>4</v>
      </c>
      <c r="F40" s="353" t="s">
        <v>97</v>
      </c>
      <c r="G40" s="7"/>
      <c r="H40" s="142"/>
      <c r="I40" s="509"/>
      <c r="J40" s="509"/>
      <c r="K40" s="347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8"/>
    </row>
    <row r="41" spans="1:22" s="349" customFormat="1" ht="15.75" customHeight="1" thickBot="1" x14ac:dyDescent="0.4">
      <c r="A41" s="350"/>
      <c r="B41" s="489" t="s">
        <v>221</v>
      </c>
      <c r="C41" s="489"/>
      <c r="D41" s="491" t="s">
        <v>234</v>
      </c>
      <c r="E41" s="492"/>
      <c r="F41" s="493"/>
      <c r="G41" s="7"/>
      <c r="H41" s="142"/>
      <c r="I41" s="509"/>
      <c r="J41" s="509"/>
      <c r="K41" s="347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8"/>
    </row>
    <row r="42" spans="1:22" s="349" customFormat="1" ht="3.6" customHeight="1" x14ac:dyDescent="0.3">
      <c r="A42" s="345"/>
      <c r="B42" s="483"/>
      <c r="C42" s="483"/>
      <c r="D42" s="356"/>
      <c r="E42" s="356"/>
      <c r="F42" s="356"/>
      <c r="G42" s="7"/>
      <c r="H42" s="7"/>
      <c r="I42" s="509"/>
      <c r="J42" s="509"/>
      <c r="K42" s="347"/>
      <c r="L42" s="348"/>
      <c r="M42" s="348"/>
      <c r="N42" s="348"/>
      <c r="O42" s="348"/>
      <c r="P42" s="348"/>
      <c r="Q42" s="348"/>
      <c r="R42" s="348"/>
      <c r="S42" s="348"/>
      <c r="T42" s="348"/>
      <c r="U42" s="348"/>
    </row>
    <row r="43" spans="1:22" s="349" customFormat="1" ht="15.75" customHeight="1" thickBot="1" x14ac:dyDescent="0.35">
      <c r="A43" s="345"/>
      <c r="B43" s="481" t="s">
        <v>222</v>
      </c>
      <c r="C43" s="482"/>
      <c r="D43" s="361" t="s">
        <v>97</v>
      </c>
      <c r="E43" s="361">
        <v>5.2999999999999999E-2</v>
      </c>
      <c r="F43" s="361" t="s">
        <v>97</v>
      </c>
      <c r="G43" s="7"/>
      <c r="H43" s="135"/>
      <c r="I43" s="509"/>
      <c r="J43" s="509"/>
      <c r="K43" s="347"/>
      <c r="L43" s="348"/>
      <c r="M43" s="348"/>
      <c r="N43" s="348"/>
      <c r="O43" s="348"/>
      <c r="P43" s="348"/>
      <c r="Q43" s="348"/>
      <c r="R43" s="348"/>
      <c r="S43" s="348"/>
      <c r="T43" s="348"/>
      <c r="U43" s="348"/>
    </row>
    <row r="44" spans="1:22" s="349" customFormat="1" ht="5.25" customHeight="1" x14ac:dyDescent="0.3">
      <c r="A44" s="345"/>
      <c r="B44" s="483"/>
      <c r="C44" s="483"/>
      <c r="D44" s="356"/>
      <c r="E44" s="356"/>
      <c r="F44" s="356"/>
      <c r="G44" s="7"/>
      <c r="H44" s="7"/>
      <c r="I44" s="509"/>
      <c r="J44" s="509"/>
      <c r="K44" s="347"/>
      <c r="L44" s="348"/>
      <c r="M44" s="348"/>
      <c r="N44" s="348"/>
      <c r="O44" s="348"/>
      <c r="P44" s="348"/>
      <c r="Q44" s="348"/>
      <c r="R44" s="348"/>
      <c r="S44" s="348"/>
      <c r="T44" s="348"/>
      <c r="U44" s="348"/>
    </row>
    <row r="45" spans="1:22" s="349" customFormat="1" ht="15.75" customHeight="1" thickBot="1" x14ac:dyDescent="0.35">
      <c r="A45" s="345"/>
      <c r="B45" s="484" t="s">
        <v>223</v>
      </c>
      <c r="C45" s="485"/>
      <c r="D45" s="352" t="s">
        <v>97</v>
      </c>
      <c r="E45" s="365">
        <v>7</v>
      </c>
      <c r="F45" s="352" t="s">
        <v>97</v>
      </c>
      <c r="G45" s="7"/>
      <c r="H45" s="135"/>
      <c r="I45" s="509"/>
      <c r="J45" s="509"/>
      <c r="K45" s="347"/>
      <c r="L45" s="348"/>
      <c r="M45" s="348"/>
      <c r="N45" s="348"/>
      <c r="O45" s="348"/>
      <c r="P45" s="348"/>
      <c r="Q45" s="348"/>
      <c r="R45" s="348"/>
      <c r="S45" s="348"/>
      <c r="T45" s="348"/>
      <c r="U45" s="348"/>
    </row>
    <row r="46" spans="1:22" s="349" customFormat="1" ht="3.6" customHeight="1" x14ac:dyDescent="0.3">
      <c r="A46" s="345"/>
      <c r="B46" s="483"/>
      <c r="C46" s="483"/>
      <c r="D46" s="356"/>
      <c r="E46" s="356"/>
      <c r="F46" s="356"/>
      <c r="G46" s="7"/>
      <c r="H46" s="7"/>
      <c r="I46" s="509"/>
      <c r="J46" s="509"/>
      <c r="K46" s="347"/>
      <c r="L46" s="348"/>
      <c r="M46" s="348"/>
      <c r="N46" s="348"/>
      <c r="O46" s="348"/>
      <c r="P46" s="348"/>
      <c r="Q46" s="348"/>
      <c r="R46" s="348"/>
      <c r="S46" s="348"/>
      <c r="T46" s="348"/>
      <c r="U46" s="348"/>
    </row>
    <row r="47" spans="1:22" s="349" customFormat="1" ht="15.75" customHeight="1" thickBot="1" x14ac:dyDescent="0.35">
      <c r="A47" s="345"/>
      <c r="B47" s="481" t="s">
        <v>224</v>
      </c>
      <c r="C47" s="482"/>
      <c r="D47" s="361" t="s">
        <v>97</v>
      </c>
      <c r="E47" s="361">
        <v>5.2999999999999999E-2</v>
      </c>
      <c r="F47" s="361" t="s">
        <v>97</v>
      </c>
      <c r="G47" s="7"/>
      <c r="H47" s="135"/>
      <c r="I47" s="509"/>
      <c r="J47" s="509"/>
      <c r="K47" s="347"/>
      <c r="L47" s="348"/>
      <c r="M47" s="348"/>
      <c r="N47" s="348"/>
      <c r="O47" s="348"/>
      <c r="P47" s="348"/>
      <c r="Q47" s="348"/>
      <c r="R47" s="348"/>
      <c r="S47" s="348"/>
      <c r="T47" s="348"/>
      <c r="U47" s="348"/>
    </row>
    <row r="48" spans="1:22" s="349" customFormat="1" ht="3.6" customHeight="1" x14ac:dyDescent="0.3">
      <c r="A48" s="345"/>
      <c r="B48" s="483"/>
      <c r="C48" s="483"/>
      <c r="D48" s="366"/>
      <c r="E48" s="356"/>
      <c r="F48" s="366"/>
      <c r="G48" s="7"/>
      <c r="H48" s="7"/>
      <c r="I48" s="509"/>
      <c r="J48" s="509"/>
      <c r="K48" s="347"/>
      <c r="L48" s="348"/>
      <c r="M48" s="348"/>
      <c r="N48" s="348"/>
      <c r="O48" s="348"/>
      <c r="P48" s="348"/>
      <c r="Q48" s="348"/>
      <c r="R48" s="348"/>
      <c r="S48" s="348"/>
      <c r="T48" s="348"/>
      <c r="U48" s="348"/>
    </row>
    <row r="49" spans="1:21" s="349" customFormat="1" ht="15.75" customHeight="1" thickBot="1" x14ac:dyDescent="0.35">
      <c r="A49" s="345"/>
      <c r="B49" s="494" t="s">
        <v>225</v>
      </c>
      <c r="C49" s="495"/>
      <c r="D49" s="496" t="s">
        <v>226</v>
      </c>
      <c r="E49" s="497"/>
      <c r="F49" s="498"/>
      <c r="G49" s="7"/>
      <c r="H49" s="135"/>
      <c r="I49" s="510"/>
      <c r="J49" s="510"/>
      <c r="K49" s="347"/>
      <c r="L49" s="348"/>
      <c r="M49" s="348"/>
      <c r="N49" s="348"/>
      <c r="O49" s="348"/>
      <c r="P49" s="348"/>
      <c r="Q49" s="348"/>
      <c r="R49" s="348"/>
      <c r="S49" s="348"/>
      <c r="T49" s="348"/>
      <c r="U49" s="348"/>
    </row>
    <row r="50" spans="1:21" s="349" customFormat="1" ht="3.75" customHeight="1" x14ac:dyDescent="0.3">
      <c r="A50" s="345"/>
      <c r="B50" s="480"/>
      <c r="C50" s="480"/>
      <c r="D50" s="150"/>
      <c r="E50" s="48"/>
      <c r="F50" s="150"/>
      <c r="G50" s="7"/>
      <c r="H50" s="7"/>
      <c r="I50" s="7"/>
      <c r="J50" s="7"/>
      <c r="K50" s="347"/>
      <c r="L50" s="348"/>
      <c r="M50" s="348"/>
      <c r="N50" s="348"/>
      <c r="O50" s="348"/>
      <c r="P50" s="348"/>
      <c r="Q50" s="348"/>
      <c r="R50" s="348"/>
      <c r="S50" s="348"/>
      <c r="T50" s="348"/>
      <c r="U50" s="348"/>
    </row>
    <row r="51" spans="1:21" s="5" customFormat="1" ht="17.399999999999999" x14ac:dyDescent="0.3">
      <c r="A51" s="52"/>
      <c r="B51" s="151" t="s">
        <v>11</v>
      </c>
      <c r="C51" s="367"/>
      <c r="D51" s="367"/>
      <c r="E51" s="367"/>
      <c r="F51" s="367"/>
      <c r="G51" s="367"/>
      <c r="H51" s="367"/>
      <c r="I51" s="367"/>
      <c r="J51" s="367"/>
      <c r="K51" s="59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s="2" customFormat="1" ht="18.600000000000001" customHeight="1" x14ac:dyDescent="0.3">
      <c r="A52" s="56"/>
      <c r="B52" s="368"/>
      <c r="C52" s="369"/>
      <c r="D52" s="369"/>
      <c r="E52" s="370"/>
      <c r="F52" s="371"/>
      <c r="G52" s="370"/>
      <c r="H52" s="372"/>
      <c r="I52" s="372"/>
      <c r="J52" s="373"/>
      <c r="K52" s="21"/>
    </row>
    <row r="53" spans="1:21" s="380" customFormat="1" ht="18.75" customHeight="1" x14ac:dyDescent="0.3">
      <c r="A53" s="374"/>
      <c r="B53" s="375"/>
      <c r="C53" s="376"/>
      <c r="D53" s="376"/>
      <c r="E53" s="377"/>
      <c r="F53" s="377"/>
      <c r="G53" s="377"/>
      <c r="H53" s="378"/>
      <c r="I53" s="378"/>
      <c r="J53" s="379"/>
      <c r="K53" s="21"/>
    </row>
    <row r="54" spans="1:21" s="380" customFormat="1" ht="11.4" customHeight="1" x14ac:dyDescent="0.3">
      <c r="A54" s="381"/>
      <c r="B54" s="382"/>
      <c r="C54" s="382"/>
      <c r="D54" s="382"/>
      <c r="E54" s="382"/>
      <c r="F54" s="382"/>
      <c r="G54" s="382"/>
      <c r="H54" s="382"/>
      <c r="I54" s="382"/>
      <c r="J54" s="382"/>
      <c r="K54" s="60"/>
    </row>
  </sheetData>
  <mergeCells count="72">
    <mergeCell ref="A1:D1"/>
    <mergeCell ref="E1:H1"/>
    <mergeCell ref="J1:K1"/>
    <mergeCell ref="A2:D2"/>
    <mergeCell ref="E2:H2"/>
    <mergeCell ref="J2:K2"/>
    <mergeCell ref="B4:F4"/>
    <mergeCell ref="H4:J4"/>
    <mergeCell ref="B5:C5"/>
    <mergeCell ref="D5:F5"/>
    <mergeCell ref="B6:C6"/>
    <mergeCell ref="D6:F6"/>
    <mergeCell ref="G6:H7"/>
    <mergeCell ref="I6:J7"/>
    <mergeCell ref="B7:C7"/>
    <mergeCell ref="D7:F7"/>
    <mergeCell ref="J10:J49"/>
    <mergeCell ref="B11:C11"/>
    <mergeCell ref="B12:C12"/>
    <mergeCell ref="B13:C13"/>
    <mergeCell ref="D13:F13"/>
    <mergeCell ref="B14:C14"/>
    <mergeCell ref="B20:C20"/>
    <mergeCell ref="B24:C24"/>
    <mergeCell ref="B25:C25"/>
    <mergeCell ref="D25:F25"/>
    <mergeCell ref="B26:C26"/>
    <mergeCell ref="B27:C27"/>
    <mergeCell ref="B28:C28"/>
    <mergeCell ref="D37:F37"/>
    <mergeCell ref="B38:C38"/>
    <mergeCell ref="B30:C30"/>
    <mergeCell ref="B8:C8"/>
    <mergeCell ref="D8:F8"/>
    <mergeCell ref="B10:C10"/>
    <mergeCell ref="I10:I49"/>
    <mergeCell ref="B15:C15"/>
    <mergeCell ref="B16:C16"/>
    <mergeCell ref="B17:C17"/>
    <mergeCell ref="B18:C18"/>
    <mergeCell ref="B19:C19"/>
    <mergeCell ref="B29:C29"/>
    <mergeCell ref="D29:F29"/>
    <mergeCell ref="B21:C21"/>
    <mergeCell ref="D21:F21"/>
    <mergeCell ref="B22:C22"/>
    <mergeCell ref="B23:C23"/>
    <mergeCell ref="D23:F23"/>
    <mergeCell ref="B31:C31"/>
    <mergeCell ref="D31:F31"/>
    <mergeCell ref="B32:C32"/>
    <mergeCell ref="B33:C33"/>
    <mergeCell ref="D33:F33"/>
    <mergeCell ref="B34:C34"/>
    <mergeCell ref="B35:C35"/>
    <mergeCell ref="B36:C36"/>
    <mergeCell ref="B37:C37"/>
    <mergeCell ref="B39:C39"/>
    <mergeCell ref="D39:F39"/>
    <mergeCell ref="B40:C40"/>
    <mergeCell ref="B41:C41"/>
    <mergeCell ref="D41:F41"/>
    <mergeCell ref="B49:C49"/>
    <mergeCell ref="D49:F49"/>
    <mergeCell ref="B42:C42"/>
    <mergeCell ref="B50:C50"/>
    <mergeCell ref="B43:C43"/>
    <mergeCell ref="B44:C44"/>
    <mergeCell ref="B45:C45"/>
    <mergeCell ref="B46:C46"/>
    <mergeCell ref="B47:C47"/>
    <mergeCell ref="B48:C48"/>
  </mergeCells>
  <pageMargins left="0.24" right="0.24" top="0.53" bottom="0.1" header="0.2" footer="0"/>
  <pageSetup scale="99" orientation="portrait" r:id="rId1"/>
  <headerFooter>
    <oddHeader>&amp;L&amp;"Arial,Bold"&amp;18SHEET &amp;P-1 OF &amp;N-1&amp;R&amp;"Arial,Bold"&amp;18&amp;F</oddHeader>
    <firstHeader>&amp;L&amp;"Arial,Bold"&amp;18SHEET &amp;P-1 OF &amp;N-1&amp;R&amp;"Arial,Bold"&amp;18&amp;F</firstHeader>
  </headerFooter>
  <rowBreaks count="1" manualBreakCount="1">
    <brk id="54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46E6-FA31-4F65-A0C1-435DC064A941}">
  <sheetPr>
    <pageSetUpPr fitToPage="1"/>
  </sheetPr>
  <dimension ref="A1:V54"/>
  <sheetViews>
    <sheetView view="pageLayout" topLeftCell="A12" zoomScaleNormal="130" zoomScaleSheetLayoutView="220" workbookViewId="0">
      <selection activeCell="D8" sqref="D8:F8"/>
    </sheetView>
  </sheetViews>
  <sheetFormatPr defaultColWidth="3.109375" defaultRowHeight="14.4" x14ac:dyDescent="0.3"/>
  <cols>
    <col min="1" max="1" width="1" style="31" customWidth="1"/>
    <col min="2" max="2" width="17.33203125" style="31" customWidth="1"/>
    <col min="3" max="3" width="8.6640625" style="31" customWidth="1"/>
    <col min="4" max="6" width="10.33203125" style="31" customWidth="1"/>
    <col min="7" max="7" width="3.6640625" style="31" customWidth="1"/>
    <col min="8" max="8" width="16" style="31" customWidth="1"/>
    <col min="9" max="9" width="10.88671875" style="31" customWidth="1"/>
    <col min="10" max="10" width="12.6640625" style="31" customWidth="1"/>
    <col min="11" max="11" width="1" style="31" customWidth="1"/>
    <col min="12" max="12" width="9.33203125" style="31" customWidth="1"/>
    <col min="13" max="16384" width="3.109375" style="31"/>
  </cols>
  <sheetData>
    <row r="1" spans="1:21" ht="15.75" customHeight="1" x14ac:dyDescent="0.3">
      <c r="A1" s="538" t="s">
        <v>0</v>
      </c>
      <c r="B1" s="539"/>
      <c r="C1" s="539"/>
      <c r="D1" s="540"/>
      <c r="E1" s="538" t="s">
        <v>1</v>
      </c>
      <c r="F1" s="539"/>
      <c r="G1" s="539"/>
      <c r="H1" s="540"/>
      <c r="I1" s="327" t="s">
        <v>2</v>
      </c>
      <c r="J1" s="541" t="s">
        <v>3</v>
      </c>
      <c r="K1" s="541"/>
    </row>
    <row r="2" spans="1:21" ht="18.149999999999999" customHeight="1" x14ac:dyDescent="0.3">
      <c r="A2" s="542" t="s">
        <v>236</v>
      </c>
      <c r="B2" s="543"/>
      <c r="C2" s="543"/>
      <c r="D2" s="544"/>
      <c r="E2" s="545" t="s">
        <v>191</v>
      </c>
      <c r="F2" s="546"/>
      <c r="G2" s="546"/>
      <c r="H2" s="547"/>
      <c r="I2" s="61" t="str">
        <f>'Cover Sheet'!D2</f>
        <v>CDC</v>
      </c>
      <c r="J2" s="548">
        <f>'Cover Sheet'!E2</f>
        <v>46097</v>
      </c>
      <c r="K2" s="549"/>
    </row>
    <row r="3" spans="1:21" ht="3.6" customHeight="1" x14ac:dyDescent="0.3">
      <c r="A3" s="54"/>
      <c r="B3" s="39"/>
      <c r="C3" s="39"/>
      <c r="D3" s="39"/>
      <c r="E3" s="39"/>
      <c r="F3" s="39"/>
      <c r="G3" s="40"/>
      <c r="H3" s="40"/>
      <c r="I3" s="40"/>
      <c r="J3" s="40"/>
      <c r="K3" s="55"/>
    </row>
    <row r="4" spans="1:21" s="3" customFormat="1" ht="18.600000000000001" customHeight="1" x14ac:dyDescent="0.3">
      <c r="A4" s="20"/>
      <c r="B4" s="524" t="s">
        <v>19</v>
      </c>
      <c r="C4" s="524"/>
      <c r="D4" s="524"/>
      <c r="E4" s="524"/>
      <c r="F4" s="524"/>
      <c r="G4" s="7"/>
      <c r="H4" s="453" t="s">
        <v>192</v>
      </c>
      <c r="I4" s="453"/>
      <c r="J4" s="453"/>
      <c r="K4" s="21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342" customFormat="1" ht="18.600000000000001" customHeight="1" x14ac:dyDescent="0.3">
      <c r="A5" s="341"/>
      <c r="B5" s="525" t="s">
        <v>12</v>
      </c>
      <c r="C5" s="526"/>
      <c r="D5" s="527" t="s">
        <v>4</v>
      </c>
      <c r="E5" s="528"/>
      <c r="F5" s="529"/>
      <c r="H5" s="343"/>
      <c r="I5" s="343"/>
      <c r="J5" s="343"/>
      <c r="K5" s="344"/>
    </row>
    <row r="6" spans="1:21" s="3" customFormat="1" ht="18.600000000000001" customHeight="1" x14ac:dyDescent="0.3">
      <c r="A6" s="57"/>
      <c r="B6" s="504" t="s">
        <v>193</v>
      </c>
      <c r="C6" s="505"/>
      <c r="D6" s="530" t="s">
        <v>97</v>
      </c>
      <c r="E6" s="531"/>
      <c r="F6" s="532"/>
      <c r="G6" s="533" t="s">
        <v>89</v>
      </c>
      <c r="H6" s="458"/>
      <c r="I6" s="534"/>
      <c r="J6" s="535"/>
      <c r="K6" s="58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3" customFormat="1" ht="18.600000000000001" customHeight="1" thickBot="1" x14ac:dyDescent="0.35">
      <c r="A7" s="57"/>
      <c r="B7" s="504" t="s">
        <v>194</v>
      </c>
      <c r="C7" s="505"/>
      <c r="D7" s="506" t="s">
        <v>231</v>
      </c>
      <c r="E7" s="507"/>
      <c r="F7" s="508"/>
      <c r="G7" s="533"/>
      <c r="H7" s="458"/>
      <c r="I7" s="536"/>
      <c r="J7" s="537"/>
      <c r="K7" s="58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3" customFormat="1" ht="18.600000000000001" customHeight="1" x14ac:dyDescent="0.3">
      <c r="A8" s="57"/>
      <c r="B8" s="504" t="s">
        <v>195</v>
      </c>
      <c r="C8" s="505"/>
      <c r="D8" s="506" t="s">
        <v>232</v>
      </c>
      <c r="E8" s="507"/>
      <c r="F8" s="508"/>
      <c r="H8" s="43"/>
      <c r="I8" s="43"/>
      <c r="K8" s="58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x14ac:dyDescent="0.3">
      <c r="A9" s="45"/>
      <c r="B9" s="109"/>
      <c r="C9" s="109"/>
      <c r="D9" s="114" t="s">
        <v>6</v>
      </c>
      <c r="E9" s="114" t="s">
        <v>7</v>
      </c>
      <c r="F9" s="114" t="s">
        <v>8</v>
      </c>
      <c r="G9" s="46"/>
      <c r="H9" s="114" t="s">
        <v>9</v>
      </c>
      <c r="I9" s="114" t="s">
        <v>10</v>
      </c>
      <c r="J9" s="114" t="s">
        <v>3</v>
      </c>
      <c r="K9" s="47"/>
    </row>
    <row r="10" spans="1:21" s="349" customFormat="1" ht="15.75" customHeight="1" thickBot="1" x14ac:dyDescent="0.35">
      <c r="A10" s="345"/>
      <c r="B10" s="481" t="s">
        <v>196</v>
      </c>
      <c r="C10" s="482"/>
      <c r="D10" s="346" t="str">
        <f>'Taping (3-Bay)'!D47</f>
        <v>-</v>
      </c>
      <c r="E10" s="361">
        <f>'Taping (3-Bay)'!E47</f>
        <v>5.2999999999999999E-2</v>
      </c>
      <c r="F10" s="346" t="str">
        <f>'Taping (3-Bay)'!F47</f>
        <v>-</v>
      </c>
      <c r="G10" s="7"/>
      <c r="H10" s="135"/>
      <c r="I10" s="509"/>
      <c r="J10" s="509"/>
      <c r="K10" s="347"/>
      <c r="L10" s="348"/>
      <c r="M10" s="348"/>
      <c r="N10" s="348"/>
      <c r="O10" s="348"/>
      <c r="P10" s="348"/>
      <c r="Q10" s="348"/>
      <c r="R10" s="348"/>
      <c r="S10" s="348"/>
      <c r="T10" s="348"/>
      <c r="U10" s="348"/>
    </row>
    <row r="11" spans="1:21" s="349" customFormat="1" ht="3.6" customHeight="1" x14ac:dyDescent="0.3">
      <c r="A11" s="350"/>
      <c r="B11" s="516"/>
      <c r="C11" s="516"/>
      <c r="D11" s="351"/>
      <c r="E11" s="351"/>
      <c r="F11" s="351"/>
      <c r="G11" s="7"/>
      <c r="H11" s="7"/>
      <c r="I11" s="509"/>
      <c r="J11" s="509"/>
      <c r="K11" s="347"/>
      <c r="L11" s="348"/>
      <c r="M11" s="348"/>
      <c r="N11" s="348"/>
      <c r="O11" s="348"/>
      <c r="P11" s="348"/>
      <c r="Q11" s="348"/>
      <c r="R11" s="348"/>
      <c r="S11" s="348"/>
      <c r="T11" s="348"/>
      <c r="U11" s="348"/>
    </row>
    <row r="12" spans="1:21" s="349" customFormat="1" ht="15.75" customHeight="1" thickBot="1" x14ac:dyDescent="0.35">
      <c r="A12" s="350"/>
      <c r="B12" s="499" t="s">
        <v>16</v>
      </c>
      <c r="C12" s="500"/>
      <c r="D12" s="352" t="s">
        <v>97</v>
      </c>
      <c r="E12" s="352">
        <v>6.85</v>
      </c>
      <c r="F12" s="352" t="s">
        <v>97</v>
      </c>
      <c r="G12" s="7"/>
      <c r="H12" s="135"/>
      <c r="I12" s="509"/>
      <c r="J12" s="509"/>
      <c r="K12" s="347"/>
      <c r="L12" s="348"/>
      <c r="M12" s="348"/>
      <c r="N12" s="348"/>
      <c r="O12" s="348"/>
      <c r="P12" s="348"/>
      <c r="Q12" s="348"/>
      <c r="R12" s="348"/>
      <c r="S12" s="348"/>
      <c r="T12" s="348"/>
      <c r="U12" s="348"/>
    </row>
    <row r="13" spans="1:21" s="349" customFormat="1" ht="15.75" customHeight="1" thickBot="1" x14ac:dyDescent="0.35">
      <c r="A13" s="350"/>
      <c r="B13" s="499" t="s">
        <v>197</v>
      </c>
      <c r="C13" s="500"/>
      <c r="D13" s="517" t="s">
        <v>97</v>
      </c>
      <c r="E13" s="518"/>
      <c r="F13" s="519"/>
      <c r="G13" s="7"/>
      <c r="H13" s="142"/>
      <c r="I13" s="509"/>
      <c r="J13" s="509"/>
      <c r="K13" s="347"/>
      <c r="L13" s="348"/>
      <c r="M13" s="348"/>
      <c r="N13" s="348"/>
      <c r="O13" s="348"/>
      <c r="P13" s="348"/>
      <c r="Q13" s="348"/>
      <c r="R13" s="348"/>
      <c r="S13" s="348"/>
      <c r="T13" s="348"/>
      <c r="U13" s="348"/>
    </row>
    <row r="14" spans="1:21" s="349" customFormat="1" ht="15.75" customHeight="1" thickBot="1" x14ac:dyDescent="0.35">
      <c r="A14" s="350"/>
      <c r="B14" s="499" t="s">
        <v>198</v>
      </c>
      <c r="C14" s="500"/>
      <c r="D14" s="353" t="s">
        <v>97</v>
      </c>
      <c r="E14" s="354" t="s">
        <v>97</v>
      </c>
      <c r="F14" s="353" t="s">
        <v>97</v>
      </c>
      <c r="G14" s="7"/>
      <c r="H14" s="142"/>
      <c r="I14" s="509"/>
      <c r="J14" s="509"/>
      <c r="K14" s="347"/>
      <c r="L14" s="348"/>
      <c r="M14" s="348"/>
      <c r="N14" s="348"/>
      <c r="O14" s="348"/>
      <c r="P14" s="348"/>
      <c r="Q14" s="348"/>
      <c r="R14" s="348"/>
      <c r="S14" s="348"/>
      <c r="T14" s="348"/>
      <c r="U14" s="348"/>
    </row>
    <row r="15" spans="1:21" s="349" customFormat="1" ht="15.75" customHeight="1" thickBot="1" x14ac:dyDescent="0.35">
      <c r="A15" s="350"/>
      <c r="B15" s="511" t="s">
        <v>199</v>
      </c>
      <c r="C15" s="512"/>
      <c r="D15" s="353" t="s">
        <v>97</v>
      </c>
      <c r="E15" s="355" t="s">
        <v>97</v>
      </c>
      <c r="F15" s="353" t="s">
        <v>97</v>
      </c>
      <c r="G15" s="7"/>
      <c r="H15" s="142"/>
      <c r="I15" s="509"/>
      <c r="J15" s="509"/>
      <c r="K15" s="347"/>
      <c r="L15" s="348"/>
      <c r="M15" s="348"/>
      <c r="N15" s="348"/>
      <c r="O15" s="348"/>
      <c r="P15" s="348"/>
      <c r="Q15" s="348"/>
      <c r="R15" s="348"/>
      <c r="S15" s="348"/>
      <c r="T15" s="348"/>
      <c r="U15" s="348"/>
    </row>
    <row r="16" spans="1:21" s="349" customFormat="1" ht="15.75" customHeight="1" thickBot="1" x14ac:dyDescent="0.35">
      <c r="A16" s="350"/>
      <c r="B16" s="513" t="s">
        <v>200</v>
      </c>
      <c r="C16" s="514"/>
      <c r="D16" s="353" t="s">
        <v>97</v>
      </c>
      <c r="E16" s="326" t="s">
        <v>97</v>
      </c>
      <c r="F16" s="353" t="s">
        <v>97</v>
      </c>
      <c r="G16" s="7"/>
      <c r="H16" s="142"/>
      <c r="I16" s="509"/>
      <c r="J16" s="509"/>
      <c r="K16" s="347"/>
      <c r="L16" s="348"/>
      <c r="M16" s="348"/>
      <c r="N16" s="348"/>
      <c r="O16" s="348"/>
      <c r="P16" s="348"/>
      <c r="Q16" s="348"/>
      <c r="R16" s="348"/>
      <c r="S16" s="348"/>
      <c r="T16" s="348"/>
      <c r="U16" s="348"/>
    </row>
    <row r="17" spans="1:22" s="349" customFormat="1" ht="15.75" customHeight="1" thickBot="1" x14ac:dyDescent="0.35">
      <c r="A17" s="350"/>
      <c r="B17" s="499" t="s">
        <v>201</v>
      </c>
      <c r="C17" s="500"/>
      <c r="D17" s="353" t="s">
        <v>97</v>
      </c>
      <c r="E17" s="383">
        <v>0.45</v>
      </c>
      <c r="F17" s="353" t="s">
        <v>97</v>
      </c>
      <c r="G17" s="7"/>
      <c r="H17" s="142"/>
      <c r="I17" s="509"/>
      <c r="J17" s="509"/>
      <c r="K17" s="347"/>
      <c r="L17" s="348"/>
      <c r="M17" s="348"/>
      <c r="N17" s="348"/>
      <c r="O17" s="348"/>
      <c r="P17" s="348"/>
      <c r="Q17" s="348"/>
      <c r="R17" s="348"/>
      <c r="S17" s="348"/>
      <c r="T17" s="348"/>
      <c r="U17" s="348"/>
    </row>
    <row r="18" spans="1:22" s="349" customFormat="1" ht="15.75" customHeight="1" thickBot="1" x14ac:dyDescent="0.35">
      <c r="A18" s="350"/>
      <c r="B18" s="499" t="s">
        <v>202</v>
      </c>
      <c r="C18" s="500"/>
      <c r="D18" s="353" t="s">
        <v>97</v>
      </c>
      <c r="E18" s="183">
        <v>10</v>
      </c>
      <c r="F18" s="353" t="s">
        <v>97</v>
      </c>
      <c r="G18" s="7"/>
      <c r="H18" s="142"/>
      <c r="I18" s="509"/>
      <c r="J18" s="509"/>
      <c r="K18" s="347"/>
      <c r="L18" s="348"/>
      <c r="M18" s="348"/>
      <c r="N18" s="348"/>
      <c r="O18" s="348"/>
      <c r="P18" s="348"/>
      <c r="Q18" s="348"/>
      <c r="R18" s="348"/>
      <c r="S18" s="348"/>
      <c r="T18" s="348"/>
      <c r="U18" s="348"/>
    </row>
    <row r="19" spans="1:22" s="349" customFormat="1" ht="15.75" customHeight="1" thickBot="1" x14ac:dyDescent="0.35">
      <c r="A19" s="350"/>
      <c r="B19" s="499" t="s">
        <v>203</v>
      </c>
      <c r="C19" s="500"/>
      <c r="D19" s="353" t="s">
        <v>97</v>
      </c>
      <c r="E19" s="354">
        <v>0.2</v>
      </c>
      <c r="F19" s="353" t="s">
        <v>97</v>
      </c>
      <c r="G19" s="7"/>
      <c r="H19" s="142"/>
      <c r="I19" s="509"/>
      <c r="J19" s="509"/>
      <c r="K19" s="347"/>
      <c r="L19" s="348"/>
      <c r="M19" s="348"/>
      <c r="N19" s="348"/>
      <c r="O19" s="348"/>
      <c r="P19" s="348"/>
      <c r="Q19" s="348"/>
      <c r="R19" s="348"/>
      <c r="S19" s="348"/>
      <c r="T19" s="348"/>
      <c r="U19" s="348"/>
    </row>
    <row r="20" spans="1:22" s="349" customFormat="1" ht="3.6" customHeight="1" x14ac:dyDescent="0.3">
      <c r="A20" s="345"/>
      <c r="B20" s="520"/>
      <c r="C20" s="520"/>
      <c r="D20" s="356"/>
      <c r="E20" s="356"/>
      <c r="F20" s="356"/>
      <c r="G20" s="7"/>
      <c r="H20" s="7"/>
      <c r="I20" s="509"/>
      <c r="J20" s="509"/>
      <c r="K20" s="347"/>
      <c r="L20" s="348"/>
      <c r="M20" s="348"/>
      <c r="N20" s="348"/>
      <c r="O20" s="348"/>
      <c r="P20" s="348"/>
      <c r="Q20" s="348"/>
      <c r="R20" s="348"/>
      <c r="S20" s="348"/>
      <c r="T20" s="348"/>
      <c r="U20" s="348"/>
    </row>
    <row r="21" spans="1:22" s="349" customFormat="1" ht="15.75" customHeight="1" thickBot="1" x14ac:dyDescent="0.35">
      <c r="A21" s="350"/>
      <c r="B21" s="499" t="s">
        <v>204</v>
      </c>
      <c r="C21" s="500"/>
      <c r="D21" s="486" t="s">
        <v>97</v>
      </c>
      <c r="E21" s="487"/>
      <c r="F21" s="488"/>
      <c r="G21" s="7"/>
      <c r="H21" s="135"/>
      <c r="I21" s="509"/>
      <c r="J21" s="509"/>
      <c r="K21" s="347"/>
      <c r="L21" s="348"/>
      <c r="M21" s="348"/>
      <c r="N21" s="348"/>
      <c r="O21" s="348"/>
      <c r="P21" s="348"/>
      <c r="Q21" s="348"/>
      <c r="R21" s="348"/>
      <c r="S21" s="348"/>
      <c r="T21" s="348"/>
      <c r="U21" s="348"/>
    </row>
    <row r="22" spans="1:22" s="349" customFormat="1" ht="15.75" customHeight="1" thickBot="1" x14ac:dyDescent="0.35">
      <c r="A22" s="350"/>
      <c r="B22" s="499" t="s">
        <v>205</v>
      </c>
      <c r="C22" s="500"/>
      <c r="D22" s="357" t="s">
        <v>97</v>
      </c>
      <c r="E22" s="358" t="s">
        <v>97</v>
      </c>
      <c r="F22" s="353" t="s">
        <v>97</v>
      </c>
      <c r="G22" s="7"/>
      <c r="H22" s="142"/>
      <c r="I22" s="509"/>
      <c r="J22" s="509"/>
      <c r="K22" s="347"/>
      <c r="L22" s="348"/>
      <c r="M22" s="348"/>
      <c r="N22" s="348"/>
      <c r="O22" s="348"/>
      <c r="P22" s="348"/>
      <c r="Q22" s="348"/>
      <c r="R22" s="348"/>
      <c r="S22" s="348"/>
      <c r="T22" s="348"/>
      <c r="U22" s="348"/>
    </row>
    <row r="23" spans="1:22" s="349" customFormat="1" ht="15.75" customHeight="1" thickBot="1" x14ac:dyDescent="0.35">
      <c r="A23" s="350"/>
      <c r="B23" s="499" t="s">
        <v>206</v>
      </c>
      <c r="C23" s="500"/>
      <c r="D23" s="515" t="s">
        <v>97</v>
      </c>
      <c r="E23" s="487"/>
      <c r="F23" s="488"/>
      <c r="G23" s="7"/>
      <c r="H23" s="142"/>
      <c r="I23" s="509"/>
      <c r="J23" s="509"/>
      <c r="K23" s="347"/>
      <c r="L23" s="348"/>
      <c r="M23" s="348"/>
      <c r="N23" s="348"/>
      <c r="O23" s="348"/>
      <c r="P23" s="348"/>
      <c r="Q23" s="348"/>
      <c r="R23" s="348"/>
      <c r="S23" s="348"/>
      <c r="T23" s="348"/>
      <c r="U23" s="348"/>
    </row>
    <row r="24" spans="1:22" s="349" customFormat="1" ht="15.75" customHeight="1" thickBot="1" x14ac:dyDescent="0.4">
      <c r="A24" s="350"/>
      <c r="B24" s="489" t="s">
        <v>207</v>
      </c>
      <c r="C24" s="490"/>
      <c r="D24" s="353" t="s">
        <v>97</v>
      </c>
      <c r="E24" s="359" t="s">
        <v>97</v>
      </c>
      <c r="F24" s="353" t="s">
        <v>97</v>
      </c>
      <c r="G24" s="7"/>
      <c r="H24" s="142"/>
      <c r="I24" s="509"/>
      <c r="J24" s="509"/>
      <c r="K24" s="347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8"/>
    </row>
    <row r="25" spans="1:22" s="349" customFormat="1" ht="15.75" customHeight="1" thickBot="1" x14ac:dyDescent="0.4">
      <c r="A25" s="350"/>
      <c r="B25" s="489" t="s">
        <v>208</v>
      </c>
      <c r="C25" s="489"/>
      <c r="D25" s="521" t="s">
        <v>97</v>
      </c>
      <c r="E25" s="522"/>
      <c r="F25" s="523"/>
      <c r="G25" s="7"/>
      <c r="H25" s="142"/>
      <c r="I25" s="509"/>
      <c r="J25" s="509"/>
      <c r="K25" s="347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8"/>
    </row>
    <row r="26" spans="1:22" s="349" customFormat="1" ht="3.6" customHeight="1" x14ac:dyDescent="0.3">
      <c r="A26" s="345"/>
      <c r="B26" s="483"/>
      <c r="C26" s="483"/>
      <c r="D26" s="360"/>
      <c r="E26" s="360"/>
      <c r="F26" s="360"/>
      <c r="G26" s="7"/>
      <c r="H26" s="7"/>
      <c r="I26" s="509"/>
      <c r="J26" s="509"/>
      <c r="K26" s="347"/>
      <c r="L26" s="348"/>
      <c r="M26" s="348"/>
      <c r="N26" s="348"/>
      <c r="O26" s="348"/>
      <c r="P26" s="348"/>
      <c r="Q26" s="348"/>
      <c r="R26" s="348"/>
      <c r="S26" s="348"/>
      <c r="T26" s="348"/>
      <c r="U26" s="348"/>
    </row>
    <row r="27" spans="1:22" s="349" customFormat="1" ht="15.75" customHeight="1" thickBot="1" x14ac:dyDescent="0.35">
      <c r="A27" s="345"/>
      <c r="B27" s="481" t="s">
        <v>210</v>
      </c>
      <c r="C27" s="482"/>
      <c r="D27" s="346" t="s">
        <v>97</v>
      </c>
      <c r="E27" s="361">
        <v>5.2999999999999999E-2</v>
      </c>
      <c r="F27" s="346" t="s">
        <v>97</v>
      </c>
      <c r="G27" s="7"/>
      <c r="H27" s="135"/>
      <c r="I27" s="509"/>
      <c r="J27" s="509"/>
      <c r="K27" s="347"/>
      <c r="L27" s="348"/>
      <c r="M27" s="348"/>
      <c r="N27" s="348"/>
      <c r="O27" s="348"/>
      <c r="P27" s="348"/>
      <c r="Q27" s="348"/>
      <c r="R27" s="348"/>
      <c r="S27" s="348"/>
      <c r="T27" s="348"/>
      <c r="U27" s="348"/>
    </row>
    <row r="28" spans="1:22" s="349" customFormat="1" ht="3.6" customHeight="1" x14ac:dyDescent="0.3">
      <c r="A28" s="345"/>
      <c r="B28" s="483"/>
      <c r="C28" s="483"/>
      <c r="D28" s="362"/>
      <c r="E28" s="362"/>
      <c r="F28" s="362"/>
      <c r="G28" s="7"/>
      <c r="H28" s="7"/>
      <c r="I28" s="509"/>
      <c r="J28" s="509"/>
      <c r="K28" s="347"/>
      <c r="L28" s="348"/>
      <c r="M28" s="348"/>
      <c r="N28" s="348"/>
      <c r="O28" s="348"/>
      <c r="P28" s="348"/>
      <c r="Q28" s="348"/>
      <c r="R28" s="348"/>
      <c r="S28" s="348"/>
      <c r="T28" s="348"/>
      <c r="U28" s="348"/>
    </row>
    <row r="29" spans="1:22" s="349" customFormat="1" ht="15.75" customHeight="1" thickBot="1" x14ac:dyDescent="0.35">
      <c r="A29" s="350"/>
      <c r="B29" s="499" t="s">
        <v>211</v>
      </c>
      <c r="C29" s="500"/>
      <c r="D29" s="486" t="s">
        <v>28</v>
      </c>
      <c r="E29" s="487"/>
      <c r="F29" s="488"/>
      <c r="G29" s="7"/>
      <c r="H29" s="135"/>
      <c r="I29" s="509"/>
      <c r="J29" s="509"/>
      <c r="K29" s="347"/>
      <c r="L29" s="348"/>
      <c r="M29" s="348"/>
      <c r="N29" s="348"/>
      <c r="O29" s="348"/>
      <c r="P29" s="348"/>
      <c r="Q29" s="348"/>
      <c r="R29" s="348"/>
      <c r="S29" s="348"/>
      <c r="T29" s="348"/>
      <c r="U29" s="348"/>
    </row>
    <row r="30" spans="1:22" s="349" customFormat="1" ht="15.75" customHeight="1" thickBot="1" x14ac:dyDescent="0.35">
      <c r="A30" s="350"/>
      <c r="B30" s="499" t="s">
        <v>212</v>
      </c>
      <c r="C30" s="500"/>
      <c r="D30" s="353" t="s">
        <v>97</v>
      </c>
      <c r="E30" s="358">
        <v>7.3999999999999996E-2</v>
      </c>
      <c r="F30" s="353" t="s">
        <v>97</v>
      </c>
      <c r="G30" s="7"/>
      <c r="H30" s="142"/>
      <c r="I30" s="509"/>
      <c r="J30" s="509"/>
      <c r="K30" s="347"/>
      <c r="L30" s="348"/>
      <c r="M30" s="348"/>
      <c r="N30" s="348"/>
      <c r="O30" s="348"/>
      <c r="P30" s="348"/>
      <c r="Q30" s="348"/>
      <c r="R30" s="348"/>
      <c r="S30" s="348"/>
      <c r="T30" s="348"/>
      <c r="U30" s="348"/>
    </row>
    <row r="31" spans="1:22" s="349" customFormat="1" ht="15.75" customHeight="1" thickBot="1" x14ac:dyDescent="0.35">
      <c r="A31" s="350"/>
      <c r="B31" s="499" t="s">
        <v>213</v>
      </c>
      <c r="C31" s="500"/>
      <c r="D31" s="486" t="s">
        <v>237</v>
      </c>
      <c r="E31" s="487"/>
      <c r="F31" s="488"/>
      <c r="G31" s="7"/>
      <c r="H31" s="142"/>
      <c r="I31" s="509"/>
      <c r="J31" s="509"/>
      <c r="K31" s="347"/>
      <c r="L31" s="348"/>
      <c r="M31" s="348"/>
      <c r="N31" s="348"/>
      <c r="O31" s="348"/>
      <c r="P31" s="348"/>
      <c r="Q31" s="348"/>
      <c r="R31" s="348"/>
      <c r="S31" s="348"/>
      <c r="T31" s="348"/>
      <c r="U31" s="348"/>
    </row>
    <row r="32" spans="1:22" s="349" customFormat="1" ht="15.75" customHeight="1" thickBot="1" x14ac:dyDescent="0.4">
      <c r="A32" s="350"/>
      <c r="B32" s="489" t="s">
        <v>214</v>
      </c>
      <c r="C32" s="490"/>
      <c r="D32" s="353" t="s">
        <v>97</v>
      </c>
      <c r="E32" s="363">
        <v>4</v>
      </c>
      <c r="F32" s="353" t="s">
        <v>97</v>
      </c>
      <c r="G32" s="7"/>
      <c r="H32" s="142"/>
      <c r="I32" s="509"/>
      <c r="J32" s="509"/>
      <c r="K32" s="347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8"/>
    </row>
    <row r="33" spans="1:22" s="349" customFormat="1" ht="15.75" customHeight="1" thickBot="1" x14ac:dyDescent="0.4">
      <c r="A33" s="350"/>
      <c r="B33" s="489" t="s">
        <v>215</v>
      </c>
      <c r="C33" s="489"/>
      <c r="D33" s="501" t="s">
        <v>209</v>
      </c>
      <c r="E33" s="502"/>
      <c r="F33" s="503"/>
      <c r="G33" s="7"/>
      <c r="H33" s="142"/>
      <c r="I33" s="509"/>
      <c r="J33" s="509"/>
      <c r="K33" s="347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8"/>
    </row>
    <row r="34" spans="1:22" s="349" customFormat="1" ht="3.6" customHeight="1" x14ac:dyDescent="0.3">
      <c r="A34" s="345"/>
      <c r="B34" s="483"/>
      <c r="C34" s="483"/>
      <c r="D34" s="364"/>
      <c r="E34" s="364"/>
      <c r="F34" s="356"/>
      <c r="G34" s="7"/>
      <c r="H34" s="7"/>
      <c r="I34" s="509"/>
      <c r="J34" s="509"/>
      <c r="K34" s="347"/>
      <c r="L34" s="348"/>
      <c r="M34" s="348"/>
      <c r="N34" s="348"/>
      <c r="O34" s="348"/>
      <c r="P34" s="348"/>
      <c r="Q34" s="348"/>
      <c r="R34" s="348"/>
      <c r="S34" s="348"/>
      <c r="T34" s="348"/>
      <c r="U34" s="348"/>
    </row>
    <row r="35" spans="1:22" s="349" customFormat="1" ht="15.75" customHeight="1" thickBot="1" x14ac:dyDescent="0.35">
      <c r="A35" s="345"/>
      <c r="B35" s="481" t="s">
        <v>216</v>
      </c>
      <c r="C35" s="482"/>
      <c r="D35" s="346" t="s">
        <v>97</v>
      </c>
      <c r="E35" s="361">
        <v>6.7000000000000004E-2</v>
      </c>
      <c r="F35" s="346" t="s">
        <v>97</v>
      </c>
      <c r="G35" s="7"/>
      <c r="H35" s="135"/>
      <c r="I35" s="509"/>
      <c r="J35" s="509"/>
      <c r="K35" s="347"/>
      <c r="L35" s="348"/>
      <c r="M35" s="348"/>
      <c r="N35" s="348"/>
      <c r="O35" s="348"/>
      <c r="P35" s="348"/>
      <c r="Q35" s="348"/>
      <c r="R35" s="348"/>
      <c r="S35" s="348"/>
      <c r="T35" s="348"/>
      <c r="U35" s="348"/>
    </row>
    <row r="36" spans="1:22" s="349" customFormat="1" ht="3.6" customHeight="1" x14ac:dyDescent="0.3">
      <c r="A36" s="345"/>
      <c r="B36" s="483"/>
      <c r="C36" s="483"/>
      <c r="D36" s="362"/>
      <c r="E36" s="362"/>
      <c r="F36" s="362"/>
      <c r="G36" s="7"/>
      <c r="H36" s="7"/>
      <c r="I36" s="509"/>
      <c r="J36" s="509"/>
      <c r="K36" s="347"/>
      <c r="L36" s="348"/>
      <c r="M36" s="348"/>
      <c r="N36" s="348"/>
      <c r="O36" s="348"/>
      <c r="P36" s="348"/>
      <c r="Q36" s="348"/>
      <c r="R36" s="348"/>
      <c r="S36" s="348"/>
      <c r="T36" s="348"/>
      <c r="U36" s="348"/>
    </row>
    <row r="37" spans="1:22" s="349" customFormat="1" ht="15.75" customHeight="1" thickBot="1" x14ac:dyDescent="0.35">
      <c r="A37" s="350"/>
      <c r="B37" s="499" t="s">
        <v>217</v>
      </c>
      <c r="C37" s="500"/>
      <c r="D37" s="486" t="s">
        <v>101</v>
      </c>
      <c r="E37" s="487"/>
      <c r="F37" s="488"/>
      <c r="G37" s="7"/>
      <c r="H37" s="135"/>
      <c r="I37" s="509"/>
      <c r="J37" s="509"/>
      <c r="K37" s="347"/>
      <c r="L37" s="348"/>
      <c r="M37" s="348"/>
      <c r="N37" s="348"/>
      <c r="O37" s="348"/>
      <c r="P37" s="348"/>
      <c r="Q37" s="348"/>
      <c r="R37" s="348"/>
      <c r="S37" s="348"/>
      <c r="T37" s="348"/>
      <c r="U37" s="348"/>
    </row>
    <row r="38" spans="1:22" s="349" customFormat="1" ht="15.75" customHeight="1" thickBot="1" x14ac:dyDescent="0.35">
      <c r="A38" s="350"/>
      <c r="B38" s="499" t="s">
        <v>218</v>
      </c>
      <c r="C38" s="500"/>
      <c r="D38" s="353" t="s">
        <v>97</v>
      </c>
      <c r="E38" s="358">
        <v>0.09</v>
      </c>
      <c r="F38" s="353" t="s">
        <v>97</v>
      </c>
      <c r="G38" s="7"/>
      <c r="H38" s="142"/>
      <c r="I38" s="509"/>
      <c r="J38" s="509"/>
      <c r="K38" s="347"/>
      <c r="L38" s="348"/>
      <c r="M38" s="348"/>
      <c r="N38" s="348"/>
      <c r="O38" s="348"/>
      <c r="P38" s="348"/>
      <c r="Q38" s="348"/>
      <c r="R38" s="348"/>
      <c r="S38" s="348"/>
      <c r="T38" s="348"/>
      <c r="U38" s="348"/>
    </row>
    <row r="39" spans="1:22" s="349" customFormat="1" ht="15.75" customHeight="1" thickBot="1" x14ac:dyDescent="0.35">
      <c r="A39" s="350"/>
      <c r="B39" s="499" t="s">
        <v>219</v>
      </c>
      <c r="C39" s="500"/>
      <c r="D39" s="486" t="s">
        <v>237</v>
      </c>
      <c r="E39" s="487"/>
      <c r="F39" s="488"/>
      <c r="G39" s="7"/>
      <c r="H39" s="142"/>
      <c r="I39" s="509"/>
      <c r="J39" s="509"/>
      <c r="K39" s="347"/>
      <c r="L39" s="348"/>
      <c r="M39" s="348"/>
      <c r="N39" s="348"/>
      <c r="O39" s="348"/>
      <c r="P39" s="348"/>
      <c r="Q39" s="348"/>
      <c r="R39" s="348"/>
      <c r="S39" s="348"/>
      <c r="T39" s="348"/>
      <c r="U39" s="348"/>
    </row>
    <row r="40" spans="1:22" s="349" customFormat="1" ht="15.75" customHeight="1" thickBot="1" x14ac:dyDescent="0.4">
      <c r="A40" s="350"/>
      <c r="B40" s="489" t="s">
        <v>220</v>
      </c>
      <c r="C40" s="490"/>
      <c r="D40" s="353" t="s">
        <v>97</v>
      </c>
      <c r="E40" s="363">
        <v>4</v>
      </c>
      <c r="F40" s="353" t="s">
        <v>97</v>
      </c>
      <c r="G40" s="7"/>
      <c r="H40" s="142"/>
      <c r="I40" s="509"/>
      <c r="J40" s="509"/>
      <c r="K40" s="347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8"/>
    </row>
    <row r="41" spans="1:22" s="349" customFormat="1" ht="15.75" customHeight="1" thickBot="1" x14ac:dyDescent="0.4">
      <c r="A41" s="350"/>
      <c r="B41" s="489" t="s">
        <v>221</v>
      </c>
      <c r="C41" s="489"/>
      <c r="D41" s="491" t="s">
        <v>234</v>
      </c>
      <c r="E41" s="492"/>
      <c r="F41" s="493"/>
      <c r="G41" s="7"/>
      <c r="H41" s="142"/>
      <c r="I41" s="509"/>
      <c r="J41" s="509"/>
      <c r="K41" s="347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8"/>
    </row>
    <row r="42" spans="1:22" s="349" customFormat="1" ht="3.6" customHeight="1" x14ac:dyDescent="0.3">
      <c r="A42" s="345"/>
      <c r="B42" s="483"/>
      <c r="C42" s="483"/>
      <c r="D42" s="356"/>
      <c r="E42" s="356"/>
      <c r="F42" s="356"/>
      <c r="G42" s="7"/>
      <c r="H42" s="7"/>
      <c r="I42" s="509"/>
      <c r="J42" s="509"/>
      <c r="K42" s="347"/>
      <c r="L42" s="348"/>
      <c r="M42" s="348"/>
      <c r="N42" s="348"/>
      <c r="O42" s="348"/>
      <c r="P42" s="348"/>
      <c r="Q42" s="348"/>
      <c r="R42" s="348"/>
      <c r="S42" s="348"/>
      <c r="T42" s="348"/>
      <c r="U42" s="348"/>
    </row>
    <row r="43" spans="1:22" s="349" customFormat="1" ht="15.75" customHeight="1" thickBot="1" x14ac:dyDescent="0.35">
      <c r="A43" s="345"/>
      <c r="B43" s="481" t="s">
        <v>222</v>
      </c>
      <c r="C43" s="482"/>
      <c r="D43" s="361">
        <v>7.9000000000000001E-2</v>
      </c>
      <c r="E43" s="361">
        <v>8.1000000000000003E-2</v>
      </c>
      <c r="F43" s="361">
        <v>8.3000000000000004E-2</v>
      </c>
      <c r="G43" s="7"/>
      <c r="H43" s="135"/>
      <c r="I43" s="509"/>
      <c r="J43" s="509"/>
      <c r="K43" s="347"/>
      <c r="L43" s="348"/>
      <c r="M43" s="348"/>
      <c r="N43" s="348"/>
      <c r="O43" s="348"/>
      <c r="P43" s="348"/>
      <c r="Q43" s="348"/>
      <c r="R43" s="348"/>
      <c r="S43" s="348"/>
      <c r="T43" s="348"/>
      <c r="U43" s="348"/>
    </row>
    <row r="44" spans="1:22" s="349" customFormat="1" ht="5.25" customHeight="1" x14ac:dyDescent="0.3">
      <c r="A44" s="345"/>
      <c r="B44" s="483"/>
      <c r="C44" s="483"/>
      <c r="D44" s="356"/>
      <c r="E44" s="356"/>
      <c r="F44" s="356"/>
      <c r="G44" s="7"/>
      <c r="H44" s="7"/>
      <c r="I44" s="509"/>
      <c r="J44" s="509"/>
      <c r="K44" s="347"/>
      <c r="L44" s="348"/>
      <c r="M44" s="348"/>
      <c r="N44" s="348"/>
      <c r="O44" s="348"/>
      <c r="P44" s="348"/>
      <c r="Q44" s="348"/>
      <c r="R44" s="348"/>
      <c r="S44" s="348"/>
      <c r="T44" s="348"/>
      <c r="U44" s="348"/>
    </row>
    <row r="45" spans="1:22" s="349" customFormat="1" ht="15.75" customHeight="1" thickBot="1" x14ac:dyDescent="0.35">
      <c r="A45" s="345"/>
      <c r="B45" s="484" t="s">
        <v>223</v>
      </c>
      <c r="C45" s="485"/>
      <c r="D45" s="352" t="s">
        <v>97</v>
      </c>
      <c r="E45" s="365">
        <v>4</v>
      </c>
      <c r="F45" s="352" t="s">
        <v>97</v>
      </c>
      <c r="G45" s="7"/>
      <c r="H45" s="135"/>
      <c r="I45" s="509"/>
      <c r="J45" s="509"/>
      <c r="K45" s="347"/>
      <c r="L45" s="348"/>
      <c r="M45" s="348"/>
      <c r="N45" s="348"/>
      <c r="O45" s="348"/>
      <c r="P45" s="348"/>
      <c r="Q45" s="348"/>
      <c r="R45" s="348"/>
      <c r="S45" s="348"/>
      <c r="T45" s="348"/>
      <c r="U45" s="348"/>
    </row>
    <row r="46" spans="1:22" s="349" customFormat="1" ht="3.6" customHeight="1" x14ac:dyDescent="0.3">
      <c r="A46" s="345"/>
      <c r="B46" s="483"/>
      <c r="C46" s="483"/>
      <c r="D46" s="356"/>
      <c r="E46" s="356"/>
      <c r="F46" s="356"/>
      <c r="G46" s="7"/>
      <c r="H46" s="7"/>
      <c r="I46" s="509"/>
      <c r="J46" s="509"/>
      <c r="K46" s="347"/>
      <c r="L46" s="348"/>
      <c r="M46" s="348"/>
      <c r="N46" s="348"/>
      <c r="O46" s="348"/>
      <c r="P46" s="348"/>
      <c r="Q46" s="348"/>
      <c r="R46" s="348"/>
      <c r="S46" s="348"/>
      <c r="T46" s="348"/>
      <c r="U46" s="348"/>
    </row>
    <row r="47" spans="1:22" s="349" customFormat="1" ht="15.75" customHeight="1" thickBot="1" x14ac:dyDescent="0.35">
      <c r="A47" s="345"/>
      <c r="B47" s="481" t="s">
        <v>224</v>
      </c>
      <c r="C47" s="482"/>
      <c r="D47" s="361">
        <v>7.9000000000000001E-2</v>
      </c>
      <c r="E47" s="361">
        <v>8.1000000000000003E-2</v>
      </c>
      <c r="F47" s="361">
        <v>8.3000000000000004E-2</v>
      </c>
      <c r="G47" s="7"/>
      <c r="H47" s="135"/>
      <c r="I47" s="509"/>
      <c r="J47" s="509"/>
      <c r="K47" s="347"/>
      <c r="L47" s="348"/>
      <c r="M47" s="348"/>
      <c r="N47" s="348"/>
      <c r="O47" s="348"/>
      <c r="P47" s="348"/>
      <c r="Q47" s="348"/>
      <c r="R47" s="348"/>
      <c r="S47" s="348"/>
      <c r="T47" s="348"/>
      <c r="U47" s="348"/>
    </row>
    <row r="48" spans="1:22" s="349" customFormat="1" ht="3.6" customHeight="1" x14ac:dyDescent="0.3">
      <c r="A48" s="345"/>
      <c r="B48" s="483"/>
      <c r="C48" s="483"/>
      <c r="D48" s="366"/>
      <c r="E48" s="356"/>
      <c r="F48" s="366"/>
      <c r="G48" s="7"/>
      <c r="H48" s="7"/>
      <c r="I48" s="509"/>
      <c r="J48" s="509"/>
      <c r="K48" s="347"/>
      <c r="L48" s="348"/>
      <c r="M48" s="348"/>
      <c r="N48" s="348"/>
      <c r="O48" s="348"/>
      <c r="P48" s="348"/>
      <c r="Q48" s="348"/>
      <c r="R48" s="348"/>
      <c r="S48" s="348"/>
      <c r="T48" s="348"/>
      <c r="U48" s="348"/>
    </row>
    <row r="49" spans="1:21" s="349" customFormat="1" ht="15.75" customHeight="1" thickBot="1" x14ac:dyDescent="0.35">
      <c r="A49" s="345"/>
      <c r="B49" s="494" t="s">
        <v>225</v>
      </c>
      <c r="C49" s="495"/>
      <c r="D49" s="496" t="s">
        <v>226</v>
      </c>
      <c r="E49" s="497"/>
      <c r="F49" s="498"/>
      <c r="G49" s="7"/>
      <c r="H49" s="135"/>
      <c r="I49" s="510"/>
      <c r="J49" s="510"/>
      <c r="K49" s="347"/>
      <c r="L49" s="348"/>
      <c r="M49" s="348"/>
      <c r="N49" s="348"/>
      <c r="O49" s="348"/>
      <c r="P49" s="348"/>
      <c r="Q49" s="348"/>
      <c r="R49" s="348"/>
      <c r="S49" s="348"/>
      <c r="T49" s="348"/>
      <c r="U49" s="348"/>
    </row>
    <row r="50" spans="1:21" s="349" customFormat="1" ht="3.75" customHeight="1" x14ac:dyDescent="0.3">
      <c r="A50" s="345"/>
      <c r="B50" s="480"/>
      <c r="C50" s="480"/>
      <c r="D50" s="150"/>
      <c r="E50" s="48"/>
      <c r="F50" s="150"/>
      <c r="G50" s="7"/>
      <c r="H50" s="7"/>
      <c r="I50" s="7"/>
      <c r="J50" s="7"/>
      <c r="K50" s="347"/>
      <c r="L50" s="348"/>
      <c r="M50" s="348"/>
      <c r="N50" s="348"/>
      <c r="O50" s="348"/>
      <c r="P50" s="348"/>
      <c r="Q50" s="348"/>
      <c r="R50" s="348"/>
      <c r="S50" s="348"/>
      <c r="T50" s="348"/>
      <c r="U50" s="348"/>
    </row>
    <row r="51" spans="1:21" s="5" customFormat="1" ht="17.399999999999999" x14ac:dyDescent="0.3">
      <c r="A51" s="52"/>
      <c r="B51" s="151" t="s">
        <v>11</v>
      </c>
      <c r="C51" s="367"/>
      <c r="D51" s="367"/>
      <c r="E51" s="367"/>
      <c r="F51" s="367"/>
      <c r="G51" s="367"/>
      <c r="H51" s="367"/>
      <c r="I51" s="367"/>
      <c r="J51" s="367"/>
      <c r="K51" s="59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s="2" customFormat="1" ht="18.600000000000001" customHeight="1" x14ac:dyDescent="0.3">
      <c r="A52" s="56"/>
      <c r="B52" s="368"/>
      <c r="C52" s="369"/>
      <c r="D52" s="369"/>
      <c r="E52" s="370"/>
      <c r="F52" s="371"/>
      <c r="G52" s="370"/>
      <c r="H52" s="372"/>
      <c r="I52" s="372"/>
      <c r="J52" s="373"/>
      <c r="K52" s="21"/>
    </row>
    <row r="53" spans="1:21" s="380" customFormat="1" ht="18.75" customHeight="1" x14ac:dyDescent="0.3">
      <c r="A53" s="374"/>
      <c r="B53" s="375"/>
      <c r="C53" s="376"/>
      <c r="D53" s="376"/>
      <c r="E53" s="377"/>
      <c r="F53" s="377"/>
      <c r="G53" s="377"/>
      <c r="H53" s="378"/>
      <c r="I53" s="378"/>
      <c r="J53" s="379"/>
      <c r="K53" s="21"/>
    </row>
    <row r="54" spans="1:21" s="380" customFormat="1" ht="11.4" customHeight="1" x14ac:dyDescent="0.3">
      <c r="A54" s="381"/>
      <c r="B54" s="382"/>
      <c r="C54" s="382"/>
      <c r="D54" s="382"/>
      <c r="E54" s="382"/>
      <c r="F54" s="382"/>
      <c r="G54" s="382"/>
      <c r="H54" s="382"/>
      <c r="I54" s="382"/>
      <c r="J54" s="382"/>
      <c r="K54" s="60"/>
    </row>
  </sheetData>
  <mergeCells count="72">
    <mergeCell ref="A1:D1"/>
    <mergeCell ref="E1:H1"/>
    <mergeCell ref="J1:K1"/>
    <mergeCell ref="A2:D2"/>
    <mergeCell ref="E2:H2"/>
    <mergeCell ref="J2:K2"/>
    <mergeCell ref="B4:F4"/>
    <mergeCell ref="H4:J4"/>
    <mergeCell ref="B5:C5"/>
    <mergeCell ref="D5:F5"/>
    <mergeCell ref="B6:C6"/>
    <mergeCell ref="D6:F6"/>
    <mergeCell ref="G6:H7"/>
    <mergeCell ref="I6:J7"/>
    <mergeCell ref="B7:C7"/>
    <mergeCell ref="D7:F7"/>
    <mergeCell ref="J10:J49"/>
    <mergeCell ref="B11:C11"/>
    <mergeCell ref="B12:C12"/>
    <mergeCell ref="B13:C13"/>
    <mergeCell ref="D13:F13"/>
    <mergeCell ref="B14:C14"/>
    <mergeCell ref="B20:C20"/>
    <mergeCell ref="B24:C24"/>
    <mergeCell ref="B25:C25"/>
    <mergeCell ref="D25:F25"/>
    <mergeCell ref="B26:C26"/>
    <mergeCell ref="B27:C27"/>
    <mergeCell ref="B28:C28"/>
    <mergeCell ref="D37:F37"/>
    <mergeCell ref="B38:C38"/>
    <mergeCell ref="B30:C30"/>
    <mergeCell ref="B8:C8"/>
    <mergeCell ref="D8:F8"/>
    <mergeCell ref="B10:C10"/>
    <mergeCell ref="I10:I49"/>
    <mergeCell ref="B15:C15"/>
    <mergeCell ref="B16:C16"/>
    <mergeCell ref="B17:C17"/>
    <mergeCell ref="B18:C18"/>
    <mergeCell ref="B19:C19"/>
    <mergeCell ref="B29:C29"/>
    <mergeCell ref="D29:F29"/>
    <mergeCell ref="B21:C21"/>
    <mergeCell ref="D21:F21"/>
    <mergeCell ref="B22:C22"/>
    <mergeCell ref="B23:C23"/>
    <mergeCell ref="D23:F23"/>
    <mergeCell ref="B31:C31"/>
    <mergeCell ref="D31:F31"/>
    <mergeCell ref="B32:C32"/>
    <mergeCell ref="B33:C33"/>
    <mergeCell ref="D33:F33"/>
    <mergeCell ref="B34:C34"/>
    <mergeCell ref="B35:C35"/>
    <mergeCell ref="B36:C36"/>
    <mergeCell ref="B37:C37"/>
    <mergeCell ref="B39:C39"/>
    <mergeCell ref="D39:F39"/>
    <mergeCell ref="B40:C40"/>
    <mergeCell ref="B41:C41"/>
    <mergeCell ref="D41:F41"/>
    <mergeCell ref="B49:C49"/>
    <mergeCell ref="D49:F49"/>
    <mergeCell ref="B42:C42"/>
    <mergeCell ref="B50:C50"/>
    <mergeCell ref="B43:C43"/>
    <mergeCell ref="B44:C44"/>
    <mergeCell ref="B45:C45"/>
    <mergeCell ref="B46:C46"/>
    <mergeCell ref="B47:C47"/>
    <mergeCell ref="B48:C48"/>
  </mergeCells>
  <pageMargins left="0.24" right="0.24" top="0.53" bottom="0.1" header="0.2" footer="0"/>
  <pageSetup scale="99" orientation="portrait" r:id="rId1"/>
  <headerFooter>
    <oddHeader>&amp;L&amp;"Arial,Bold"&amp;18SHEET &amp;P-1 OF &amp;N-1&amp;R&amp;"Arial,Bold"&amp;18&amp;F</oddHeader>
    <firstHeader>&amp;L&amp;"Arial,Bold"&amp;18SHEET &amp;P-1 OF &amp;N-1&amp;R&amp;"Arial,Bold"&amp;18&amp;F</firstHeader>
  </headerFooter>
  <rowBreaks count="1" manualBreakCount="1">
    <brk id="54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4E99-1212-4A5B-8CEC-C445480C6642}">
  <dimension ref="A1:U29"/>
  <sheetViews>
    <sheetView view="pageLayout" zoomScaleNormal="130" zoomScaleSheetLayoutView="220" workbookViewId="0">
      <selection activeCell="H10" sqref="H10"/>
    </sheetView>
  </sheetViews>
  <sheetFormatPr defaultColWidth="3.109375" defaultRowHeight="14.4" x14ac:dyDescent="0.3"/>
  <cols>
    <col min="1" max="1" width="2" style="31" customWidth="1"/>
    <col min="2" max="2" width="17.33203125" style="31" customWidth="1"/>
    <col min="3" max="3" width="6.5546875" style="31" customWidth="1"/>
    <col min="4" max="6" width="10.33203125" style="31" customWidth="1"/>
    <col min="7" max="7" width="3.6640625" style="31" customWidth="1"/>
    <col min="8" max="8" width="16" style="31" customWidth="1"/>
    <col min="9" max="9" width="10.88671875" style="31" customWidth="1"/>
    <col min="10" max="10" width="12.6640625" style="31" customWidth="1"/>
    <col min="11" max="11" width="2" style="31" customWidth="1"/>
    <col min="12" max="12" width="9.33203125" style="31" customWidth="1"/>
    <col min="13" max="16384" width="3.109375" style="31"/>
  </cols>
  <sheetData>
    <row r="1" spans="1:21" ht="15.75" customHeight="1" x14ac:dyDescent="0.3">
      <c r="A1" s="538" t="s">
        <v>0</v>
      </c>
      <c r="B1" s="539"/>
      <c r="C1" s="539"/>
      <c r="D1" s="540"/>
      <c r="E1" s="538" t="s">
        <v>1</v>
      </c>
      <c r="F1" s="539"/>
      <c r="G1" s="539"/>
      <c r="H1" s="540"/>
      <c r="I1" s="327" t="s">
        <v>2</v>
      </c>
      <c r="J1" s="541" t="s">
        <v>3</v>
      </c>
      <c r="K1" s="541"/>
    </row>
    <row r="2" spans="1:21" ht="18" customHeight="1" x14ac:dyDescent="0.3">
      <c r="A2" s="542" t="s">
        <v>238</v>
      </c>
      <c r="B2" s="543"/>
      <c r="C2" s="543"/>
      <c r="D2" s="544"/>
      <c r="E2" s="545" t="s">
        <v>239</v>
      </c>
      <c r="F2" s="546"/>
      <c r="G2" s="546"/>
      <c r="H2" s="547"/>
      <c r="I2" s="384" t="str">
        <f>'Cover Sheet'!D2</f>
        <v>CDC</v>
      </c>
      <c r="J2" s="476">
        <f>'Cover Sheet'!E2</f>
        <v>46097</v>
      </c>
      <c r="K2" s="477" t="str">
        <f>'[1]Cover Sheet'!$F$2</f>
        <v>ETH</v>
      </c>
    </row>
    <row r="3" spans="1:21" ht="18" customHeight="1" x14ac:dyDescent="0.3">
      <c r="A3" s="38"/>
      <c r="B3" s="39"/>
      <c r="C3" s="39"/>
      <c r="D3" s="39"/>
      <c r="E3" s="39"/>
      <c r="F3" s="39"/>
      <c r="G3" s="40"/>
      <c r="H3" s="40"/>
      <c r="I3" s="40"/>
      <c r="J3" s="40"/>
      <c r="K3" s="41"/>
    </row>
    <row r="4" spans="1:21" s="3" customFormat="1" ht="28.65" customHeight="1" x14ac:dyDescent="0.3">
      <c r="A4" s="42"/>
      <c r="B4" s="578"/>
      <c r="C4" s="578"/>
      <c r="D4" s="43"/>
      <c r="E4" s="43"/>
      <c r="F4" s="43"/>
      <c r="G4" s="579" t="s">
        <v>89</v>
      </c>
      <c r="H4" s="580"/>
      <c r="I4" s="581"/>
      <c r="J4" s="582"/>
      <c r="K4" s="385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3" customFormat="1" ht="28.65" customHeight="1" thickBot="1" x14ac:dyDescent="0.35">
      <c r="A5" s="42"/>
      <c r="B5" s="585"/>
      <c r="C5" s="585"/>
      <c r="D5" s="586"/>
      <c r="E5" s="586"/>
      <c r="F5" s="586"/>
      <c r="G5" s="579"/>
      <c r="H5" s="580"/>
      <c r="I5" s="583"/>
      <c r="J5" s="584"/>
      <c r="K5" s="385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s="3" customFormat="1" ht="14.25" customHeight="1" x14ac:dyDescent="0.3">
      <c r="A6" s="386"/>
      <c r="B6" s="387"/>
      <c r="C6" s="388"/>
      <c r="D6" s="43"/>
      <c r="E6" s="43"/>
      <c r="F6" s="43"/>
      <c r="G6" s="43"/>
      <c r="H6" s="7"/>
      <c r="I6" s="7"/>
      <c r="J6" s="7"/>
      <c r="K6" s="44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3" customFormat="1" ht="30.6" thickBot="1" x14ac:dyDescent="0.35">
      <c r="A7" s="42"/>
      <c r="B7" s="387"/>
      <c r="C7" s="388"/>
      <c r="D7" s="43"/>
      <c r="E7" s="574" t="s">
        <v>240</v>
      </c>
      <c r="F7" s="574"/>
      <c r="G7" s="574"/>
      <c r="H7" s="575" t="s">
        <v>241</v>
      </c>
      <c r="I7" s="576"/>
      <c r="J7" s="577"/>
      <c r="K7" s="385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3" customFormat="1" ht="14.25" customHeight="1" x14ac:dyDescent="0.3">
      <c r="A8" s="42"/>
      <c r="B8" s="387"/>
      <c r="C8" s="388"/>
      <c r="D8" s="43"/>
      <c r="E8" s="43"/>
      <c r="F8" s="43"/>
      <c r="G8" s="43"/>
      <c r="H8" s="7"/>
      <c r="I8" s="7"/>
      <c r="J8" s="7"/>
      <c r="K8" s="385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1" customHeight="1" x14ac:dyDescent="0.3">
      <c r="A9" s="386"/>
      <c r="B9" s="562"/>
      <c r="C9" s="562"/>
      <c r="D9" s="114" t="s">
        <v>6</v>
      </c>
      <c r="E9" s="114" t="s">
        <v>7</v>
      </c>
      <c r="F9" s="114" t="s">
        <v>8</v>
      </c>
      <c r="G9" s="46"/>
      <c r="H9" s="389" t="s">
        <v>9</v>
      </c>
      <c r="I9" s="389" t="s">
        <v>10</v>
      </c>
      <c r="J9" s="389" t="s">
        <v>3</v>
      </c>
      <c r="K9" s="47"/>
    </row>
    <row r="10" spans="1:21" s="349" customFormat="1" ht="29.25" customHeight="1" thickBot="1" x14ac:dyDescent="0.35">
      <c r="A10" s="563" t="s">
        <v>242</v>
      </c>
      <c r="B10" s="564"/>
      <c r="C10" s="565"/>
      <c r="D10" s="390">
        <v>365</v>
      </c>
      <c r="E10" s="390">
        <v>375</v>
      </c>
      <c r="F10" s="391">
        <v>385</v>
      </c>
      <c r="G10" s="392"/>
      <c r="H10" s="393"/>
      <c r="I10" s="566"/>
      <c r="J10" s="566"/>
      <c r="K10" s="347"/>
      <c r="L10" s="348"/>
      <c r="M10" s="348"/>
      <c r="N10" s="348"/>
      <c r="O10" s="348"/>
      <c r="P10" s="348"/>
      <c r="Q10" s="348"/>
      <c r="R10" s="348"/>
      <c r="S10" s="348"/>
      <c r="T10" s="348"/>
      <c r="U10" s="348"/>
    </row>
    <row r="11" spans="1:21" s="349" customFormat="1" ht="30.75" customHeight="1" thickBot="1" x14ac:dyDescent="0.35">
      <c r="A11" s="568" t="s">
        <v>243</v>
      </c>
      <c r="B11" s="569"/>
      <c r="C11" s="570"/>
      <c r="D11" s="571">
        <v>8</v>
      </c>
      <c r="E11" s="572"/>
      <c r="F11" s="573"/>
      <c r="G11" s="7"/>
      <c r="H11" s="393"/>
      <c r="I11" s="567"/>
      <c r="J11" s="567"/>
      <c r="K11" s="347"/>
      <c r="L11" s="348"/>
      <c r="M11" s="348"/>
      <c r="N11" s="348"/>
      <c r="O11" s="348"/>
      <c r="P11" s="348"/>
      <c r="Q11" s="348"/>
      <c r="R11" s="348"/>
      <c r="S11" s="348"/>
      <c r="T11" s="348"/>
      <c r="U11" s="348"/>
    </row>
    <row r="12" spans="1:21" s="349" customFormat="1" ht="14.25" customHeight="1" x14ac:dyDescent="0.3">
      <c r="A12" s="350"/>
      <c r="B12" s="553"/>
      <c r="C12" s="553"/>
      <c r="D12" s="394"/>
      <c r="E12" s="394"/>
      <c r="F12" s="394"/>
      <c r="G12" s="394"/>
      <c r="H12" s="394"/>
      <c r="I12" s="394"/>
      <c r="J12" s="394"/>
      <c r="K12" s="347"/>
      <c r="L12" s="348"/>
      <c r="M12" s="348"/>
      <c r="N12" s="348"/>
      <c r="O12" s="348"/>
      <c r="P12" s="348"/>
      <c r="Q12" s="348"/>
      <c r="R12" s="348"/>
      <c r="S12" s="348"/>
      <c r="T12" s="348"/>
      <c r="U12" s="348"/>
    </row>
    <row r="13" spans="1:21" s="349" customFormat="1" ht="32.25" customHeight="1" thickBot="1" x14ac:dyDescent="0.35">
      <c r="A13" s="345"/>
      <c r="B13" s="553"/>
      <c r="C13" s="553"/>
      <c r="D13" s="394"/>
      <c r="E13" s="561" t="s">
        <v>244</v>
      </c>
      <c r="F13" s="561"/>
      <c r="G13" s="561"/>
      <c r="H13" s="393"/>
      <c r="I13" s="393"/>
      <c r="J13" s="395"/>
      <c r="K13" s="347"/>
      <c r="L13" s="348"/>
      <c r="M13" s="348"/>
      <c r="N13" s="348"/>
      <c r="O13" s="348"/>
      <c r="P13" s="348"/>
      <c r="Q13" s="348"/>
      <c r="R13" s="348"/>
      <c r="S13" s="348"/>
      <c r="T13" s="348"/>
      <c r="U13" s="348"/>
    </row>
    <row r="14" spans="1:21" s="349" customFormat="1" ht="14.25" customHeight="1" x14ac:dyDescent="0.3">
      <c r="A14" s="345"/>
      <c r="B14" s="553"/>
      <c r="C14" s="553"/>
      <c r="D14" s="394"/>
      <c r="E14" s="394"/>
      <c r="F14" s="394"/>
      <c r="G14" s="394"/>
      <c r="H14" s="394"/>
      <c r="I14" s="394"/>
      <c r="J14" s="394"/>
      <c r="K14" s="347"/>
      <c r="L14" s="348"/>
      <c r="M14" s="348"/>
      <c r="N14" s="348"/>
      <c r="O14" s="348"/>
      <c r="P14" s="348"/>
      <c r="Q14" s="348"/>
      <c r="R14" s="348"/>
      <c r="S14" s="348"/>
      <c r="T14" s="348"/>
      <c r="U14" s="348"/>
    </row>
    <row r="15" spans="1:21" s="349" customFormat="1" ht="32.25" customHeight="1" thickBot="1" x14ac:dyDescent="0.35">
      <c r="A15" s="345"/>
      <c r="B15" s="553"/>
      <c r="C15" s="553"/>
      <c r="D15" s="394"/>
      <c r="E15" s="561" t="s">
        <v>245</v>
      </c>
      <c r="F15" s="561"/>
      <c r="G15" s="561"/>
      <c r="H15" s="393"/>
      <c r="I15" s="393"/>
      <c r="J15" s="395"/>
      <c r="K15" s="347"/>
      <c r="L15" s="348"/>
      <c r="M15" s="348"/>
      <c r="N15" s="348"/>
      <c r="O15" s="348"/>
      <c r="P15" s="348"/>
      <c r="Q15" s="348"/>
      <c r="R15" s="348"/>
      <c r="S15" s="348"/>
      <c r="T15" s="348"/>
      <c r="U15" s="348"/>
    </row>
    <row r="16" spans="1:21" s="349" customFormat="1" ht="25.35" customHeight="1" x14ac:dyDescent="0.3">
      <c r="A16" s="345"/>
      <c r="B16" s="553"/>
      <c r="C16" s="553"/>
      <c r="D16" s="394"/>
      <c r="E16" s="394"/>
      <c r="F16" s="394"/>
      <c r="G16" s="394"/>
      <c r="H16" s="394"/>
      <c r="I16" s="394"/>
      <c r="J16" s="394"/>
      <c r="K16" s="347"/>
      <c r="L16" s="348"/>
      <c r="M16" s="348"/>
      <c r="N16" s="348"/>
      <c r="O16" s="348"/>
      <c r="P16" s="348"/>
      <c r="Q16" s="348"/>
      <c r="R16" s="348"/>
      <c r="S16" s="348"/>
      <c r="T16" s="348"/>
      <c r="U16" s="348"/>
    </row>
    <row r="17" spans="1:21" s="349" customFormat="1" ht="25.35" customHeight="1" x14ac:dyDescent="0.3">
      <c r="A17" s="345"/>
      <c r="B17" s="553"/>
      <c r="C17" s="553"/>
      <c r="D17" s="394"/>
      <c r="F17" s="394"/>
      <c r="G17" s="394"/>
      <c r="H17" s="394"/>
      <c r="I17" s="394"/>
      <c r="J17" s="394"/>
      <c r="K17" s="347"/>
      <c r="L17" s="348"/>
      <c r="M17" s="348"/>
      <c r="N17" s="348"/>
      <c r="O17" s="348"/>
      <c r="P17" s="348"/>
      <c r="Q17" s="348"/>
      <c r="R17" s="348"/>
      <c r="S17" s="348"/>
      <c r="T17" s="348"/>
      <c r="U17" s="348"/>
    </row>
    <row r="18" spans="1:21" s="349" customFormat="1" ht="25.35" customHeight="1" x14ac:dyDescent="0.3">
      <c r="A18" s="345"/>
      <c r="B18" s="554"/>
      <c r="C18" s="554"/>
      <c r="D18" s="394"/>
      <c r="E18" s="394"/>
      <c r="F18" s="394"/>
      <c r="G18" s="394"/>
      <c r="H18" s="394"/>
      <c r="I18" s="394"/>
      <c r="J18" s="394"/>
      <c r="K18" s="347"/>
      <c r="L18" s="348"/>
      <c r="M18" s="348"/>
      <c r="N18" s="348"/>
      <c r="O18" s="348"/>
      <c r="P18" s="348"/>
      <c r="Q18" s="348"/>
      <c r="R18" s="348"/>
      <c r="S18" s="348"/>
      <c r="T18" s="348"/>
      <c r="U18" s="348"/>
    </row>
    <row r="19" spans="1:21" s="349" customFormat="1" ht="25.35" customHeight="1" x14ac:dyDescent="0.3">
      <c r="A19" s="345"/>
      <c r="B19" s="554"/>
      <c r="C19" s="554"/>
      <c r="D19" s="394"/>
      <c r="E19" s="394"/>
      <c r="F19" s="394"/>
      <c r="G19" s="394"/>
      <c r="H19" s="394"/>
      <c r="I19" s="394"/>
      <c r="J19" s="394"/>
      <c r="K19" s="347"/>
      <c r="L19" s="348"/>
      <c r="M19" s="348"/>
      <c r="N19" s="348"/>
      <c r="O19" s="348"/>
      <c r="P19" s="348"/>
      <c r="Q19" s="348"/>
      <c r="R19" s="348"/>
      <c r="S19" s="348"/>
      <c r="T19" s="348"/>
      <c r="U19" s="348"/>
    </row>
    <row r="20" spans="1:21" s="349" customFormat="1" ht="25.35" customHeight="1" x14ac:dyDescent="0.3">
      <c r="A20" s="350"/>
      <c r="B20" s="554"/>
      <c r="C20" s="554"/>
      <c r="D20" s="394"/>
      <c r="E20" s="394"/>
      <c r="F20" s="394"/>
      <c r="G20" s="394"/>
      <c r="H20" s="394"/>
      <c r="I20" s="394"/>
      <c r="J20" s="394"/>
      <c r="K20" s="347"/>
      <c r="L20" s="348"/>
      <c r="M20" s="348"/>
      <c r="N20" s="348"/>
      <c r="O20" s="348"/>
      <c r="P20" s="348"/>
      <c r="Q20" s="348"/>
      <c r="R20" s="348"/>
      <c r="S20" s="348"/>
      <c r="T20" s="348"/>
      <c r="U20" s="348"/>
    </row>
    <row r="21" spans="1:21" s="349" customFormat="1" ht="25.35" customHeight="1" x14ac:dyDescent="0.3">
      <c r="A21" s="396"/>
      <c r="B21" s="554"/>
      <c r="C21" s="554"/>
      <c r="D21" s="394"/>
      <c r="E21" s="394"/>
      <c r="F21" s="394"/>
      <c r="G21" s="394"/>
      <c r="H21" s="394"/>
      <c r="I21" s="394"/>
      <c r="J21" s="394"/>
      <c r="K21" s="347"/>
      <c r="L21" s="348"/>
      <c r="M21" s="348"/>
      <c r="N21" s="348"/>
      <c r="O21" s="348"/>
      <c r="P21" s="348"/>
      <c r="Q21" s="348"/>
      <c r="R21" s="348"/>
      <c r="S21" s="348"/>
      <c r="T21" s="348"/>
      <c r="U21" s="348"/>
    </row>
    <row r="22" spans="1:21" s="5" customFormat="1" ht="14.25" customHeight="1" x14ac:dyDescent="0.3">
      <c r="A22" s="50"/>
      <c r="B22" s="554"/>
      <c r="C22" s="554"/>
      <c r="D22" s="394"/>
      <c r="E22" s="394"/>
      <c r="F22" s="394"/>
      <c r="G22" s="394"/>
      <c r="H22" s="394"/>
      <c r="I22" s="394"/>
      <c r="J22" s="397"/>
      <c r="K22" s="49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s="5" customFormat="1" ht="25.35" customHeight="1" x14ac:dyDescent="0.3">
      <c r="A23" s="50"/>
      <c r="B23" s="51" t="s">
        <v>11</v>
      </c>
      <c r="C23" s="367"/>
      <c r="D23" s="367"/>
      <c r="E23" s="367"/>
      <c r="F23" s="367"/>
      <c r="G23" s="367"/>
      <c r="H23" s="367"/>
      <c r="I23" s="367"/>
      <c r="J23" s="367"/>
      <c r="K23" s="49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s="6" customFormat="1" ht="24.6" customHeight="1" x14ac:dyDescent="0.3">
      <c r="A24" s="398"/>
      <c r="B24" s="555"/>
      <c r="C24" s="556"/>
      <c r="D24" s="556"/>
      <c r="E24" s="556"/>
      <c r="F24" s="556"/>
      <c r="G24" s="556"/>
      <c r="H24" s="556"/>
      <c r="I24" s="556"/>
      <c r="J24" s="557"/>
      <c r="K24" s="399"/>
    </row>
    <row r="25" spans="1:21" s="402" customFormat="1" ht="24.6" customHeight="1" x14ac:dyDescent="0.3">
      <c r="A25" s="400"/>
      <c r="B25" s="558"/>
      <c r="C25" s="559"/>
      <c r="D25" s="559"/>
      <c r="E25" s="559"/>
      <c r="F25" s="559"/>
      <c r="G25" s="559"/>
      <c r="H25" s="559"/>
      <c r="I25" s="559"/>
      <c r="J25" s="560"/>
      <c r="K25" s="401"/>
    </row>
    <row r="26" spans="1:21" s="402" customFormat="1" ht="24.6" customHeight="1" x14ac:dyDescent="0.3">
      <c r="A26" s="403"/>
      <c r="B26" s="558"/>
      <c r="C26" s="559"/>
      <c r="D26" s="559"/>
      <c r="E26" s="559"/>
      <c r="F26" s="559"/>
      <c r="G26" s="559"/>
      <c r="H26" s="559"/>
      <c r="I26" s="559"/>
      <c r="J26" s="560"/>
      <c r="K26" s="401"/>
    </row>
    <row r="27" spans="1:21" s="402" customFormat="1" ht="24.6" customHeight="1" x14ac:dyDescent="0.3">
      <c r="A27" s="403"/>
      <c r="B27" s="558"/>
      <c r="C27" s="559"/>
      <c r="D27" s="559"/>
      <c r="E27" s="559"/>
      <c r="F27" s="559"/>
      <c r="G27" s="559"/>
      <c r="H27" s="559"/>
      <c r="I27" s="559"/>
      <c r="J27" s="560"/>
      <c r="K27" s="401"/>
    </row>
    <row r="28" spans="1:21" s="402" customFormat="1" ht="24.6" customHeight="1" x14ac:dyDescent="0.3">
      <c r="A28" s="403"/>
      <c r="B28" s="550"/>
      <c r="C28" s="551"/>
      <c r="D28" s="551"/>
      <c r="E28" s="551"/>
      <c r="F28" s="551"/>
      <c r="G28" s="551"/>
      <c r="H28" s="551"/>
      <c r="I28" s="551"/>
      <c r="J28" s="552"/>
      <c r="K28" s="401"/>
    </row>
    <row r="29" spans="1:21" s="380" customFormat="1" ht="11.4" customHeight="1" x14ac:dyDescent="0.3">
      <c r="A29" s="404"/>
      <c r="B29" s="405"/>
      <c r="C29" s="405"/>
      <c r="D29" s="405"/>
      <c r="E29" s="405"/>
      <c r="F29" s="405"/>
      <c r="G29" s="405"/>
      <c r="H29" s="405"/>
      <c r="I29" s="405"/>
      <c r="J29" s="405"/>
      <c r="K29" s="406"/>
    </row>
  </sheetData>
  <mergeCells count="37">
    <mergeCell ref="E7:G7"/>
    <mergeCell ref="H7:J7"/>
    <mergeCell ref="A1:D1"/>
    <mergeCell ref="E1:H1"/>
    <mergeCell ref="J1:K1"/>
    <mergeCell ref="A2:D2"/>
    <mergeCell ref="E2:H2"/>
    <mergeCell ref="J2:K2"/>
    <mergeCell ref="B4:C4"/>
    <mergeCell ref="G4:H5"/>
    <mergeCell ref="I4:J5"/>
    <mergeCell ref="B5:C5"/>
    <mergeCell ref="D5:F5"/>
    <mergeCell ref="B9:C9"/>
    <mergeCell ref="A10:C10"/>
    <mergeCell ref="I10:I11"/>
    <mergeCell ref="J10:J11"/>
    <mergeCell ref="A11:C11"/>
    <mergeCell ref="D11:F11"/>
    <mergeCell ref="B12:C12"/>
    <mergeCell ref="B13:C13"/>
    <mergeCell ref="E13:G13"/>
    <mergeCell ref="B14:C14"/>
    <mergeCell ref="B15:C15"/>
    <mergeCell ref="E15:G15"/>
    <mergeCell ref="B28:J28"/>
    <mergeCell ref="B16:C16"/>
    <mergeCell ref="B17:C17"/>
    <mergeCell ref="B18:C18"/>
    <mergeCell ref="B19:C19"/>
    <mergeCell ref="B20:C20"/>
    <mergeCell ref="B21:C21"/>
    <mergeCell ref="B22:C22"/>
    <mergeCell ref="B24:J24"/>
    <mergeCell ref="B25:J25"/>
    <mergeCell ref="B26:J26"/>
    <mergeCell ref="B27:J27"/>
  </mergeCells>
  <pageMargins left="0.24" right="0.24" top="0.53" bottom="0.1" header="0.2" footer="0"/>
  <pageSetup fitToHeight="0" orientation="portrait" r:id="rId1"/>
  <headerFooter>
    <oddHeader>&amp;L&amp;"Arial,Bold"&amp;18SHEET &amp;P-1 OF &amp;N-1&amp;R&amp;"Arial,Bold"&amp;18&amp;F</oddHeader>
    <firstHeader>&amp;L&amp;"Arial,Bold"&amp;18SHEET &amp;P-1 OF &amp;N-1&amp;R&amp;"Arial,Bold"&amp;18&amp;F</firstHeader>
  </headerFooter>
  <rowBreaks count="1" manualBreakCount="1">
    <brk id="2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Check Box 1">
              <controlPr defaultSize="0" autoFill="0" autoLine="0" autoPict="0">
                <anchor>
                  <from>
                    <xdr:col>7</xdr:col>
                    <xdr:colOff>220980</xdr:colOff>
                    <xdr:row>6</xdr:row>
                    <xdr:rowOff>60960</xdr:rowOff>
                  </from>
                  <to>
                    <xdr:col>7</xdr:col>
                    <xdr:colOff>464820</xdr:colOff>
                    <xdr:row>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Check Box 2">
              <controlPr defaultSize="0" autoFill="0" autoLine="0" autoPict="0">
                <anchor>
                  <from>
                    <xdr:col>8</xdr:col>
                    <xdr:colOff>182880</xdr:colOff>
                    <xdr:row>6</xdr:row>
                    <xdr:rowOff>83820</xdr:rowOff>
                  </from>
                  <to>
                    <xdr:col>8</xdr:col>
                    <xdr:colOff>373380</xdr:colOff>
                    <xdr:row>6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83BE-1450-48F8-AC82-2EB81B6791C9}">
  <sheetPr>
    <pageSetUpPr fitToPage="1"/>
  </sheetPr>
  <dimension ref="A1:V40"/>
  <sheetViews>
    <sheetView view="pageLayout" topLeftCell="A5" zoomScaleNormal="130" zoomScaleSheetLayoutView="220" workbookViewId="0">
      <selection activeCell="B37" sqref="B37:J39"/>
    </sheetView>
  </sheetViews>
  <sheetFormatPr defaultColWidth="3.109375" defaultRowHeight="14.4" x14ac:dyDescent="0.3"/>
  <cols>
    <col min="1" max="1" width="2" style="31" customWidth="1"/>
    <col min="2" max="2" width="17.6640625" style="31" customWidth="1"/>
    <col min="3" max="3" width="6.5546875" style="31" customWidth="1"/>
    <col min="4" max="6" width="10.6640625" style="31" customWidth="1"/>
    <col min="7" max="7" width="3.109375" style="31" customWidth="1"/>
    <col min="8" max="8" width="15.5546875" style="31" customWidth="1"/>
    <col min="9" max="9" width="10.33203125" style="31" customWidth="1"/>
    <col min="10" max="10" width="12.6640625" style="31" customWidth="1"/>
    <col min="11" max="11" width="2" style="31" customWidth="1"/>
    <col min="12" max="12" width="9.33203125" style="31" customWidth="1"/>
    <col min="13" max="16384" width="3.109375" style="31"/>
  </cols>
  <sheetData>
    <row r="1" spans="1:21" ht="15.75" customHeight="1" x14ac:dyDescent="0.3">
      <c r="A1" s="538" t="s">
        <v>0</v>
      </c>
      <c r="B1" s="539"/>
      <c r="C1" s="539"/>
      <c r="D1" s="540"/>
      <c r="E1" s="538" t="s">
        <v>1</v>
      </c>
      <c r="F1" s="539"/>
      <c r="G1" s="539"/>
      <c r="H1" s="540"/>
      <c r="I1" s="105" t="s">
        <v>2</v>
      </c>
      <c r="J1" s="541" t="s">
        <v>3</v>
      </c>
      <c r="K1" s="541"/>
    </row>
    <row r="2" spans="1:21" ht="18.149999999999999" customHeight="1" x14ac:dyDescent="0.3">
      <c r="A2" s="542" t="s">
        <v>86</v>
      </c>
      <c r="B2" s="543"/>
      <c r="C2" s="543"/>
      <c r="D2" s="544"/>
      <c r="E2" s="545" t="s">
        <v>87</v>
      </c>
      <c r="F2" s="546"/>
      <c r="G2" s="546"/>
      <c r="H2" s="547"/>
      <c r="I2" s="61" t="str">
        <f>'Cover Sheet'!D2</f>
        <v>CDC</v>
      </c>
      <c r="J2" s="548">
        <f>'Cover Sheet'!E2</f>
        <v>46097</v>
      </c>
      <c r="K2" s="549"/>
    </row>
    <row r="3" spans="1:21" ht="7.5" customHeight="1" x14ac:dyDescent="0.3">
      <c r="A3" s="54"/>
      <c r="B3" s="39"/>
      <c r="C3" s="39"/>
      <c r="D3" s="39"/>
      <c r="E3" s="39"/>
      <c r="F3" s="39"/>
      <c r="G3" s="40"/>
      <c r="H3" s="40"/>
      <c r="I3" s="109"/>
      <c r="J3" s="40"/>
      <c r="K3" s="55"/>
    </row>
    <row r="4" spans="1:21" s="3" customFormat="1" ht="22.8" x14ac:dyDescent="0.3">
      <c r="A4" s="20"/>
      <c r="B4" s="524" t="s">
        <v>19</v>
      </c>
      <c r="C4" s="524"/>
      <c r="D4" s="524"/>
      <c r="E4" s="524"/>
      <c r="F4" s="524"/>
      <c r="G4" s="7"/>
      <c r="H4" s="587" t="s">
        <v>88</v>
      </c>
      <c r="I4" s="587"/>
      <c r="J4" s="587"/>
      <c r="K4" s="21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132" customFormat="1" ht="21" x14ac:dyDescent="0.3">
      <c r="A5" s="128"/>
      <c r="B5" s="525" t="s">
        <v>12</v>
      </c>
      <c r="C5" s="526" t="s">
        <v>4</v>
      </c>
      <c r="D5" s="525" t="s">
        <v>4</v>
      </c>
      <c r="E5" s="588"/>
      <c r="F5" s="526"/>
      <c r="G5" s="533" t="s">
        <v>89</v>
      </c>
      <c r="H5" s="458"/>
      <c r="I5" s="129"/>
      <c r="J5" s="130"/>
      <c r="K5" s="131"/>
    </row>
    <row r="6" spans="1:21" s="3" customFormat="1" ht="21.6" thickBot="1" x14ac:dyDescent="0.35">
      <c r="A6" s="57"/>
      <c r="B6" s="589" t="s">
        <v>90</v>
      </c>
      <c r="C6" s="590" t="s">
        <v>91</v>
      </c>
      <c r="D6" s="591" t="s">
        <v>246</v>
      </c>
      <c r="E6" s="591"/>
      <c r="F6" s="592"/>
      <c r="G6" s="533"/>
      <c r="H6" s="458"/>
      <c r="I6" s="133"/>
      <c r="J6" s="134"/>
      <c r="K6" s="58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3" customFormat="1" ht="21" x14ac:dyDescent="0.3">
      <c r="A7" s="57"/>
      <c r="B7" s="608" t="s">
        <v>92</v>
      </c>
      <c r="C7" s="609" t="s">
        <v>93</v>
      </c>
      <c r="D7" s="610" t="s">
        <v>247</v>
      </c>
      <c r="E7" s="591"/>
      <c r="F7" s="592"/>
      <c r="H7" s="7"/>
      <c r="I7" s="7"/>
      <c r="J7" s="7"/>
      <c r="K7" s="58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3" customFormat="1" ht="22.8" x14ac:dyDescent="0.3">
      <c r="A8" s="57"/>
      <c r="B8" s="608" t="s">
        <v>94</v>
      </c>
      <c r="C8" s="609" t="s">
        <v>93</v>
      </c>
      <c r="D8" s="611" t="s">
        <v>95</v>
      </c>
      <c r="E8" s="612"/>
      <c r="F8" s="613"/>
      <c r="H8" s="7"/>
      <c r="I8" s="7"/>
      <c r="J8" s="7"/>
      <c r="K8" s="58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x14ac:dyDescent="0.3">
      <c r="A9" s="45"/>
      <c r="B9" s="109"/>
      <c r="C9" s="109"/>
      <c r="D9" s="114" t="s">
        <v>6</v>
      </c>
      <c r="E9" s="114" t="s">
        <v>7</v>
      </c>
      <c r="F9" s="114" t="s">
        <v>8</v>
      </c>
      <c r="G9" s="46"/>
      <c r="H9" s="114" t="s">
        <v>9</v>
      </c>
      <c r="I9" s="114" t="s">
        <v>10</v>
      </c>
      <c r="J9" s="114" t="s">
        <v>3</v>
      </c>
      <c r="K9" s="47"/>
    </row>
    <row r="10" spans="1:21" s="138" customFormat="1" ht="21" thickBot="1" x14ac:dyDescent="0.35">
      <c r="A10" s="614" t="s">
        <v>96</v>
      </c>
      <c r="B10" s="615"/>
      <c r="C10" s="616"/>
      <c r="D10" s="116">
        <f>'Taping (3-Bay) (2)'!D47</f>
        <v>7.9000000000000001E-2</v>
      </c>
      <c r="E10" s="116">
        <f>'Taping (3-Bay) (2)'!E47</f>
        <v>8.1000000000000003E-2</v>
      </c>
      <c r="F10" s="116">
        <f>'Taping (3-Bay) (2)'!F47</f>
        <v>8.3000000000000004E-2</v>
      </c>
      <c r="G10" s="7"/>
      <c r="H10" s="135"/>
      <c r="I10" s="509"/>
      <c r="J10" s="509"/>
      <c r="K10" s="136"/>
      <c r="L10" s="137"/>
      <c r="M10" s="137"/>
      <c r="N10" s="137"/>
      <c r="O10" s="137"/>
      <c r="P10" s="137"/>
      <c r="Q10" s="137"/>
      <c r="R10" s="137"/>
    </row>
    <row r="11" spans="1:21" s="138" customFormat="1" ht="6" customHeight="1" x14ac:dyDescent="0.3">
      <c r="A11" s="139"/>
      <c r="B11" s="627"/>
      <c r="C11" s="627"/>
      <c r="D11" s="48"/>
      <c r="E11" s="48"/>
      <c r="F11" s="48"/>
      <c r="G11" s="7"/>
      <c r="H11" s="7"/>
      <c r="I11" s="509"/>
      <c r="J11" s="509"/>
      <c r="K11" s="136"/>
      <c r="L11" s="137"/>
      <c r="M11" s="137"/>
      <c r="N11" s="137"/>
      <c r="O11" s="137"/>
      <c r="P11" s="137"/>
      <c r="Q11" s="137"/>
      <c r="R11" s="137"/>
    </row>
    <row r="12" spans="1:21" s="138" customFormat="1" ht="21" thickBot="1" x14ac:dyDescent="0.35">
      <c r="A12" s="596" t="s">
        <v>16</v>
      </c>
      <c r="B12" s="597"/>
      <c r="C12" s="598"/>
      <c r="D12" s="117" t="s">
        <v>97</v>
      </c>
      <c r="E12" s="407">
        <v>1.03</v>
      </c>
      <c r="F12" s="117" t="s">
        <v>97</v>
      </c>
      <c r="G12" s="7"/>
      <c r="H12" s="135"/>
      <c r="I12" s="509"/>
      <c r="J12" s="509"/>
      <c r="K12" s="136"/>
      <c r="L12" s="137"/>
      <c r="M12" s="137"/>
      <c r="N12" s="137"/>
      <c r="O12" s="137"/>
      <c r="P12" s="137"/>
      <c r="Q12" s="137"/>
      <c r="R12" s="137"/>
    </row>
    <row r="13" spans="1:21" s="138" customFormat="1" ht="21" thickBot="1" x14ac:dyDescent="0.35">
      <c r="A13" s="628" t="s">
        <v>98</v>
      </c>
      <c r="B13" s="629"/>
      <c r="C13" s="630"/>
      <c r="D13" s="140" t="s">
        <v>97</v>
      </c>
      <c r="E13" s="141">
        <v>0.3</v>
      </c>
      <c r="F13" s="115" t="s">
        <v>97</v>
      </c>
      <c r="G13" s="7"/>
      <c r="H13" s="142"/>
      <c r="I13" s="509"/>
      <c r="J13" s="509"/>
      <c r="K13" s="136"/>
      <c r="L13" s="137"/>
      <c r="M13" s="137"/>
      <c r="N13" s="137"/>
      <c r="O13" s="137"/>
      <c r="P13" s="137"/>
      <c r="Q13" s="137"/>
      <c r="R13" s="137"/>
      <c r="S13" s="137"/>
      <c r="T13" s="137"/>
      <c r="U13" s="137"/>
    </row>
    <row r="14" spans="1:21" s="138" customFormat="1" ht="21" thickBot="1" x14ac:dyDescent="0.35">
      <c r="A14" s="628" t="s">
        <v>99</v>
      </c>
      <c r="B14" s="629"/>
      <c r="C14" s="630"/>
      <c r="D14" s="140" t="s">
        <v>97</v>
      </c>
      <c r="E14" s="141">
        <v>0.3</v>
      </c>
      <c r="F14" s="115" t="s">
        <v>97</v>
      </c>
      <c r="G14" s="7"/>
      <c r="H14" s="142"/>
      <c r="I14" s="509"/>
      <c r="J14" s="509"/>
      <c r="K14" s="136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1" s="138" customFormat="1" ht="6" customHeight="1" x14ac:dyDescent="0.3">
      <c r="A15" s="143"/>
      <c r="B15" s="480"/>
      <c r="C15" s="480"/>
      <c r="D15" s="48"/>
      <c r="E15" s="48"/>
      <c r="F15" s="48"/>
      <c r="G15" s="7"/>
      <c r="H15" s="7"/>
      <c r="I15" s="509"/>
      <c r="J15" s="509"/>
      <c r="K15" s="136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1" s="138" customFormat="1" ht="21" thickBot="1" x14ac:dyDescent="0.35">
      <c r="A16" s="596" t="s">
        <v>100</v>
      </c>
      <c r="B16" s="597"/>
      <c r="C16" s="598"/>
      <c r="D16" s="599" t="s">
        <v>101</v>
      </c>
      <c r="E16" s="600"/>
      <c r="F16" s="601"/>
      <c r="G16" s="7"/>
      <c r="H16" s="135"/>
      <c r="I16" s="509"/>
      <c r="J16" s="509"/>
      <c r="K16" s="136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1:22" s="138" customFormat="1" ht="21" thickBot="1" x14ac:dyDescent="0.35">
      <c r="A17" s="596" t="s">
        <v>21</v>
      </c>
      <c r="B17" s="597"/>
      <c r="C17" s="598"/>
      <c r="D17" s="599">
        <v>8</v>
      </c>
      <c r="E17" s="600"/>
      <c r="F17" s="601"/>
      <c r="G17" s="7"/>
      <c r="H17" s="142"/>
      <c r="I17" s="509"/>
      <c r="J17" s="509"/>
      <c r="K17" s="136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2" s="138" customFormat="1" ht="21" thickBot="1" x14ac:dyDescent="0.35">
      <c r="A18" s="596" t="s">
        <v>102</v>
      </c>
      <c r="B18" s="597"/>
      <c r="C18" s="598"/>
      <c r="D18" s="144" t="s">
        <v>97</v>
      </c>
      <c r="E18" s="144">
        <v>2.5</v>
      </c>
      <c r="F18" s="144" t="s">
        <v>97</v>
      </c>
      <c r="G18" s="7"/>
      <c r="H18" s="142"/>
      <c r="I18" s="509"/>
      <c r="J18" s="509"/>
      <c r="K18" s="136"/>
      <c r="L18" s="137"/>
      <c r="M18" s="137"/>
      <c r="N18" s="137"/>
      <c r="O18" s="137"/>
      <c r="P18" s="137"/>
      <c r="Q18" s="137"/>
      <c r="R18" s="137"/>
      <c r="S18" s="137"/>
      <c r="T18" s="137"/>
      <c r="U18" s="137"/>
    </row>
    <row r="19" spans="1:22" s="138" customFormat="1" ht="21" thickBot="1" x14ac:dyDescent="0.4">
      <c r="A19" s="596" t="s">
        <v>103</v>
      </c>
      <c r="B19" s="597"/>
      <c r="C19" s="598"/>
      <c r="D19" s="599">
        <v>8.5000000000000006E-2</v>
      </c>
      <c r="E19" s="600"/>
      <c r="F19" s="601"/>
      <c r="G19" s="7"/>
      <c r="H19" s="142"/>
      <c r="I19" s="509"/>
      <c r="J19" s="509"/>
      <c r="K19" s="136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8"/>
    </row>
    <row r="20" spans="1:22" s="138" customFormat="1" ht="6" customHeight="1" x14ac:dyDescent="0.3">
      <c r="A20" s="143"/>
      <c r="B20" s="480"/>
      <c r="C20" s="480"/>
      <c r="D20" s="48"/>
      <c r="E20" s="48"/>
      <c r="F20" s="48"/>
      <c r="G20" s="7"/>
      <c r="H20" s="7"/>
      <c r="I20" s="509"/>
      <c r="J20" s="509"/>
      <c r="K20" s="136"/>
      <c r="L20" s="137"/>
      <c r="M20" s="137"/>
      <c r="N20" s="137"/>
      <c r="O20" s="137"/>
      <c r="P20" s="137"/>
      <c r="Q20" s="137"/>
      <c r="R20" s="137"/>
      <c r="S20" s="137"/>
      <c r="T20" s="137"/>
      <c r="U20" s="137"/>
    </row>
    <row r="21" spans="1:22" s="138" customFormat="1" ht="21" thickBot="1" x14ac:dyDescent="0.35">
      <c r="A21" s="593" t="s">
        <v>104</v>
      </c>
      <c r="B21" s="594"/>
      <c r="C21" s="595"/>
      <c r="D21" s="116">
        <v>8.4000000000000005E-2</v>
      </c>
      <c r="E21" s="116">
        <v>8.5999999999999993E-2</v>
      </c>
      <c r="F21" s="116">
        <v>8.7999999999999995E-2</v>
      </c>
      <c r="G21" s="7"/>
      <c r="H21" s="135"/>
      <c r="I21" s="509"/>
      <c r="J21" s="509"/>
      <c r="K21" s="136"/>
      <c r="L21" s="137"/>
      <c r="M21" s="137"/>
      <c r="N21" s="137"/>
      <c r="O21" s="137"/>
      <c r="P21" s="137"/>
      <c r="Q21" s="137"/>
      <c r="R21" s="137"/>
      <c r="S21" s="137"/>
      <c r="T21" s="137"/>
      <c r="U21" s="137"/>
    </row>
    <row r="22" spans="1:22" s="138" customFormat="1" ht="6" customHeight="1" x14ac:dyDescent="0.3">
      <c r="A22" s="143"/>
      <c r="B22" s="480"/>
      <c r="C22" s="480"/>
      <c r="D22" s="145"/>
      <c r="E22" s="145"/>
      <c r="F22" s="145"/>
      <c r="G22" s="7"/>
      <c r="H22" s="7"/>
      <c r="I22" s="509"/>
      <c r="J22" s="509"/>
      <c r="K22" s="136"/>
      <c r="L22" s="137"/>
      <c r="M22" s="137"/>
      <c r="N22" s="137"/>
      <c r="O22" s="137"/>
      <c r="P22" s="137"/>
      <c r="Q22" s="137"/>
      <c r="R22" s="137"/>
      <c r="S22" s="137"/>
      <c r="T22" s="137"/>
      <c r="U22" s="137"/>
    </row>
    <row r="23" spans="1:22" s="138" customFormat="1" ht="21" thickBot="1" x14ac:dyDescent="0.35">
      <c r="A23" s="596" t="s">
        <v>105</v>
      </c>
      <c r="B23" s="597"/>
      <c r="C23" s="598"/>
      <c r="D23" s="599" t="s">
        <v>248</v>
      </c>
      <c r="E23" s="600"/>
      <c r="F23" s="601"/>
      <c r="G23" s="7"/>
      <c r="H23" s="135"/>
      <c r="I23" s="509"/>
      <c r="J23" s="509"/>
      <c r="K23" s="136"/>
      <c r="L23" s="137"/>
      <c r="M23" s="137"/>
      <c r="N23" s="137"/>
      <c r="O23" s="137"/>
      <c r="P23" s="137"/>
      <c r="Q23" s="137"/>
      <c r="R23" s="137"/>
      <c r="S23" s="137"/>
      <c r="T23" s="137"/>
      <c r="U23" s="137"/>
    </row>
    <row r="24" spans="1:22" s="138" customFormat="1" ht="21" thickBot="1" x14ac:dyDescent="0.35">
      <c r="A24" s="596" t="s">
        <v>106</v>
      </c>
      <c r="B24" s="597"/>
      <c r="C24" s="598"/>
      <c r="D24" s="140"/>
      <c r="E24" s="146">
        <v>0.14399999999999999</v>
      </c>
      <c r="F24" s="115"/>
      <c r="G24" s="7"/>
      <c r="H24" s="142"/>
      <c r="I24" s="509"/>
      <c r="J24" s="509"/>
      <c r="K24" s="136"/>
      <c r="L24" s="137"/>
      <c r="M24" s="137"/>
      <c r="N24" s="137"/>
      <c r="O24" s="137"/>
      <c r="P24" s="137"/>
      <c r="Q24" s="137"/>
      <c r="R24" s="137"/>
      <c r="S24" s="137"/>
      <c r="T24" s="137"/>
      <c r="U24" s="137"/>
    </row>
    <row r="25" spans="1:22" s="138" customFormat="1" ht="21" thickBot="1" x14ac:dyDescent="0.35">
      <c r="A25" s="596" t="s">
        <v>107</v>
      </c>
      <c r="B25" s="597"/>
      <c r="C25" s="598"/>
      <c r="D25" s="602" t="s">
        <v>237</v>
      </c>
      <c r="E25" s="603"/>
      <c r="F25" s="604"/>
      <c r="G25" s="7"/>
      <c r="H25" s="142"/>
      <c r="I25" s="509"/>
      <c r="J25" s="509"/>
      <c r="K25" s="136"/>
      <c r="L25" s="137"/>
      <c r="M25" s="137"/>
      <c r="N25" s="137"/>
      <c r="O25" s="137"/>
      <c r="P25" s="137"/>
      <c r="Q25" s="137"/>
      <c r="R25" s="137"/>
      <c r="S25" s="137"/>
      <c r="T25" s="137"/>
      <c r="U25" s="137"/>
    </row>
    <row r="26" spans="1:22" s="138" customFormat="1" ht="21" thickBot="1" x14ac:dyDescent="0.4">
      <c r="A26" s="605" t="s">
        <v>108</v>
      </c>
      <c r="B26" s="606"/>
      <c r="C26" s="607"/>
      <c r="D26" s="147" t="s">
        <v>97</v>
      </c>
      <c r="E26" s="308">
        <v>6</v>
      </c>
      <c r="F26" s="148" t="s">
        <v>97</v>
      </c>
      <c r="G26" s="7"/>
      <c r="H26" s="142"/>
      <c r="I26" s="509"/>
      <c r="J26" s="509"/>
      <c r="K26" s="136"/>
      <c r="L26"/>
      <c r="M26"/>
      <c r="N26"/>
      <c r="O26" s="137"/>
      <c r="P26" s="137"/>
      <c r="Q26" s="137"/>
      <c r="R26" s="137"/>
      <c r="S26" s="137"/>
      <c r="T26" s="137"/>
      <c r="U26" s="137"/>
      <c r="V26" s="8"/>
    </row>
    <row r="27" spans="1:22" s="138" customFormat="1" ht="21" thickBot="1" x14ac:dyDescent="0.4">
      <c r="A27" s="596" t="s">
        <v>109</v>
      </c>
      <c r="B27" s="597"/>
      <c r="C27" s="598"/>
      <c r="D27" s="631">
        <v>1</v>
      </c>
      <c r="E27" s="631"/>
      <c r="F27" s="631"/>
      <c r="G27" s="7"/>
      <c r="H27" s="142"/>
      <c r="I27" s="509"/>
      <c r="J27" s="509"/>
      <c r="K27" s="136"/>
      <c r="L27"/>
      <c r="M27"/>
      <c r="N27"/>
      <c r="O27" s="137"/>
      <c r="P27" s="137"/>
      <c r="Q27" s="137"/>
      <c r="R27" s="137"/>
      <c r="S27" s="137"/>
      <c r="T27" s="137"/>
      <c r="U27" s="137"/>
      <c r="V27" s="8"/>
    </row>
    <row r="28" spans="1:22" s="138" customFormat="1" ht="21" thickBot="1" x14ac:dyDescent="0.4">
      <c r="A28" s="596" t="s">
        <v>110</v>
      </c>
      <c r="B28" s="597"/>
      <c r="C28" s="598"/>
      <c r="D28" s="631">
        <v>1</v>
      </c>
      <c r="E28" s="631"/>
      <c r="F28" s="631"/>
      <c r="G28" s="7"/>
      <c r="H28" s="142"/>
      <c r="I28" s="509"/>
      <c r="J28" s="509"/>
      <c r="K28" s="136"/>
      <c r="L28"/>
      <c r="M28"/>
      <c r="N28"/>
      <c r="O28" s="137"/>
      <c r="P28" s="137"/>
      <c r="Q28" s="137"/>
      <c r="R28" s="137"/>
      <c r="S28" s="137"/>
      <c r="T28" s="137"/>
      <c r="U28" s="137"/>
      <c r="V28" s="8"/>
    </row>
    <row r="29" spans="1:22" s="138" customFormat="1" ht="6" customHeight="1" x14ac:dyDescent="0.3">
      <c r="A29" s="143"/>
      <c r="B29" s="480"/>
      <c r="C29" s="480"/>
      <c r="D29" s="48"/>
      <c r="E29" s="48"/>
      <c r="F29" s="48"/>
      <c r="G29" s="7"/>
      <c r="H29" s="7"/>
      <c r="I29" s="509"/>
      <c r="J29" s="509"/>
      <c r="K29" s="136"/>
      <c r="L29"/>
      <c r="M29"/>
      <c r="N29"/>
      <c r="O29" s="137"/>
      <c r="P29" s="137"/>
      <c r="Q29" s="137"/>
      <c r="R29" s="137"/>
      <c r="S29" s="137"/>
      <c r="T29" s="137"/>
      <c r="U29" s="137"/>
    </row>
    <row r="30" spans="1:22" s="138" customFormat="1" ht="21" thickBot="1" x14ac:dyDescent="0.35">
      <c r="A30" s="593" t="s">
        <v>111</v>
      </c>
      <c r="B30" s="594"/>
      <c r="C30" s="595"/>
      <c r="D30" s="116">
        <v>8.8999999999999996E-2</v>
      </c>
      <c r="E30" s="116">
        <v>9.0999999999999998E-2</v>
      </c>
      <c r="F30" s="116">
        <v>9.2999999999999999E-2</v>
      </c>
      <c r="G30" s="7"/>
      <c r="H30" s="135"/>
      <c r="I30" s="509"/>
      <c r="J30" s="509"/>
      <c r="K30" s="136"/>
      <c r="L30" s="137"/>
      <c r="M30" s="137"/>
      <c r="N30" s="137"/>
      <c r="O30" s="137"/>
      <c r="P30" s="137"/>
      <c r="Q30" s="137"/>
      <c r="R30" s="137"/>
      <c r="S30" s="137"/>
      <c r="T30" s="137"/>
      <c r="U30" s="137"/>
    </row>
    <row r="31" spans="1:22" s="138" customFormat="1" ht="6" customHeight="1" x14ac:dyDescent="0.3">
      <c r="A31" s="593"/>
      <c r="B31" s="594"/>
      <c r="C31" s="594"/>
      <c r="D31" s="145"/>
      <c r="E31" s="48"/>
      <c r="F31" s="48"/>
      <c r="G31" s="7"/>
      <c r="H31" s="7"/>
      <c r="I31" s="509"/>
      <c r="J31" s="509"/>
      <c r="K31" s="136"/>
      <c r="L31"/>
      <c r="M31"/>
      <c r="N31"/>
      <c r="O31" s="137"/>
      <c r="P31" s="137"/>
      <c r="Q31" s="137"/>
      <c r="R31" s="137"/>
      <c r="S31" s="137"/>
      <c r="T31" s="137"/>
      <c r="U31" s="137"/>
    </row>
    <row r="32" spans="1:22" s="138" customFormat="1" ht="21" thickBot="1" x14ac:dyDescent="0.35">
      <c r="A32" s="626" t="s">
        <v>112</v>
      </c>
      <c r="B32" s="484"/>
      <c r="C32" s="485"/>
      <c r="D32" s="149" t="s">
        <v>97</v>
      </c>
      <c r="E32" s="339">
        <v>7</v>
      </c>
      <c r="F32" s="149" t="s">
        <v>97</v>
      </c>
      <c r="G32" s="7"/>
      <c r="H32" s="135"/>
      <c r="I32" s="509"/>
      <c r="J32" s="509"/>
      <c r="K32" s="136"/>
      <c r="L32" s="137"/>
      <c r="M32" s="137"/>
      <c r="N32" s="137"/>
      <c r="O32" s="137"/>
      <c r="P32" s="137"/>
      <c r="Q32" s="137"/>
      <c r="R32" s="137"/>
      <c r="S32" s="137"/>
      <c r="T32" s="137"/>
      <c r="U32" s="137"/>
    </row>
    <row r="33" spans="1:21" s="138" customFormat="1" ht="6" customHeight="1" x14ac:dyDescent="0.3">
      <c r="A33" s="143"/>
      <c r="B33" s="484"/>
      <c r="C33" s="484"/>
      <c r="D33" s="48"/>
      <c r="E33" s="48"/>
      <c r="F33" s="48"/>
      <c r="G33" s="7"/>
      <c r="H33" s="7"/>
      <c r="I33" s="509"/>
      <c r="J33" s="509"/>
      <c r="K33" s="136"/>
      <c r="L33"/>
      <c r="M33"/>
      <c r="N33"/>
      <c r="O33" s="137"/>
      <c r="P33" s="137"/>
      <c r="Q33" s="137"/>
      <c r="R33" s="137"/>
      <c r="S33" s="137"/>
      <c r="T33" s="137"/>
      <c r="U33" s="137"/>
    </row>
    <row r="34" spans="1:21" s="138" customFormat="1" ht="21" thickBot="1" x14ac:dyDescent="0.35">
      <c r="A34" s="593" t="s">
        <v>113</v>
      </c>
      <c r="B34" s="594"/>
      <c r="C34" s="595"/>
      <c r="D34" s="116">
        <v>8.8999999999999996E-2</v>
      </c>
      <c r="E34" s="116">
        <v>9.0999999999999998E-2</v>
      </c>
      <c r="F34" s="116">
        <v>9.2999999999999999E-2</v>
      </c>
      <c r="G34" s="7"/>
      <c r="H34" s="135"/>
      <c r="I34" s="509"/>
      <c r="J34" s="509"/>
      <c r="K34" s="136"/>
      <c r="L34" s="137"/>
      <c r="M34" s="137"/>
      <c r="N34" s="137"/>
      <c r="O34" s="137"/>
      <c r="P34" s="137"/>
      <c r="Q34" s="137"/>
      <c r="R34" s="137"/>
      <c r="S34" s="137"/>
      <c r="T34" s="137"/>
      <c r="U34" s="137"/>
    </row>
    <row r="35" spans="1:21" s="138" customFormat="1" ht="3.75" customHeight="1" x14ac:dyDescent="0.3">
      <c r="A35" s="143"/>
      <c r="B35" s="480"/>
      <c r="C35" s="480"/>
      <c r="D35" s="150"/>
      <c r="E35" s="48"/>
      <c r="F35" s="150"/>
      <c r="G35" s="7"/>
      <c r="H35" s="7"/>
      <c r="I35" s="7"/>
      <c r="J35" s="7"/>
      <c r="K35" s="136"/>
      <c r="L35" s="137"/>
      <c r="M35" s="137"/>
      <c r="N35" s="137"/>
      <c r="O35" s="137"/>
      <c r="P35" s="137"/>
      <c r="Q35" s="137"/>
      <c r="R35" s="137"/>
      <c r="S35" s="137"/>
      <c r="T35" s="137"/>
      <c r="U35" s="137"/>
    </row>
    <row r="36" spans="1:21" s="5" customFormat="1" ht="25.5" customHeight="1" x14ac:dyDescent="0.3">
      <c r="A36" s="52"/>
      <c r="B36" s="151" t="s">
        <v>11</v>
      </c>
      <c r="C36" s="152"/>
      <c r="D36" s="152"/>
      <c r="E36" s="152"/>
      <c r="F36" s="152"/>
      <c r="G36" s="152"/>
      <c r="H36" s="152"/>
      <c r="I36" s="152"/>
      <c r="J36" s="152"/>
      <c r="K36" s="59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s="2" customFormat="1" ht="24" customHeight="1" x14ac:dyDescent="0.3">
      <c r="A37" s="56"/>
      <c r="B37" s="617"/>
      <c r="C37" s="618"/>
      <c r="D37" s="618"/>
      <c r="E37" s="618"/>
      <c r="F37" s="618"/>
      <c r="G37" s="618"/>
      <c r="H37" s="618"/>
      <c r="I37" s="618"/>
      <c r="J37" s="619"/>
      <c r="K37" s="21"/>
    </row>
    <row r="38" spans="1:21" s="153" customFormat="1" ht="24" customHeight="1" x14ac:dyDescent="0.3">
      <c r="A38" s="53"/>
      <c r="B38" s="620"/>
      <c r="C38" s="621"/>
      <c r="D38" s="621"/>
      <c r="E38" s="621"/>
      <c r="F38" s="621"/>
      <c r="G38" s="621"/>
      <c r="H38" s="621"/>
      <c r="I38" s="621"/>
      <c r="J38" s="622"/>
      <c r="K38" s="21"/>
    </row>
    <row r="39" spans="1:21" s="153" customFormat="1" ht="24" customHeight="1" x14ac:dyDescent="0.3">
      <c r="A39" s="154"/>
      <c r="B39" s="623"/>
      <c r="C39" s="624"/>
      <c r="D39" s="624"/>
      <c r="E39" s="624"/>
      <c r="F39" s="624"/>
      <c r="G39" s="624"/>
      <c r="H39" s="624"/>
      <c r="I39" s="624"/>
      <c r="J39" s="625"/>
      <c r="K39" s="21"/>
    </row>
    <row r="40" spans="1:21" s="153" customFormat="1" ht="11.4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60"/>
    </row>
  </sheetData>
  <mergeCells count="53">
    <mergeCell ref="A16:C16"/>
    <mergeCell ref="D16:F16"/>
    <mergeCell ref="A17:C17"/>
    <mergeCell ref="D27:F27"/>
    <mergeCell ref="A28:C28"/>
    <mergeCell ref="D28:F28"/>
    <mergeCell ref="D19:F19"/>
    <mergeCell ref="B20:C20"/>
    <mergeCell ref="D17:F17"/>
    <mergeCell ref="B37:J39"/>
    <mergeCell ref="A30:C30"/>
    <mergeCell ref="A31:C31"/>
    <mergeCell ref="A32:C32"/>
    <mergeCell ref="B33:C33"/>
    <mergeCell ref="A34:C34"/>
    <mergeCell ref="B35:C35"/>
    <mergeCell ref="J10:J34"/>
    <mergeCell ref="B11:C11"/>
    <mergeCell ref="A12:C12"/>
    <mergeCell ref="A13:C13"/>
    <mergeCell ref="A14:C14"/>
    <mergeCell ref="B15:C15"/>
    <mergeCell ref="I10:I34"/>
    <mergeCell ref="A18:C18"/>
    <mergeCell ref="A19:C19"/>
    <mergeCell ref="B7:C7"/>
    <mergeCell ref="D7:F7"/>
    <mergeCell ref="B8:C8"/>
    <mergeCell ref="D8:F8"/>
    <mergeCell ref="A10:C10"/>
    <mergeCell ref="B29:C29"/>
    <mergeCell ref="A21:C21"/>
    <mergeCell ref="B22:C22"/>
    <mergeCell ref="A23:C23"/>
    <mergeCell ref="D23:F23"/>
    <mergeCell ref="A24:C24"/>
    <mergeCell ref="A25:C25"/>
    <mergeCell ref="D25:F25"/>
    <mergeCell ref="A26:C26"/>
    <mergeCell ref="A27:C27"/>
    <mergeCell ref="B4:F4"/>
    <mergeCell ref="H4:J4"/>
    <mergeCell ref="B5:C5"/>
    <mergeCell ref="D5:F5"/>
    <mergeCell ref="G5:H6"/>
    <mergeCell ref="B6:C6"/>
    <mergeCell ref="D6:F6"/>
    <mergeCell ref="A1:D1"/>
    <mergeCell ref="E1:H1"/>
    <mergeCell ref="J1:K1"/>
    <mergeCell ref="A2:D2"/>
    <mergeCell ref="E2:H2"/>
    <mergeCell ref="J2:K2"/>
  </mergeCells>
  <pageMargins left="0.24" right="0.24" top="0.53" bottom="0.1" header="0.2" footer="0"/>
  <pageSetup fitToHeight="0" orientation="portrait" r:id="rId1"/>
  <headerFooter>
    <oddHeader>&amp;L&amp;"Arial,Bold"&amp;18SHEET &amp;P-1 OF &amp;N-1&amp;R&amp;"Arial,Bold"&amp;18&amp;F</oddHeader>
    <firstHeader>&amp;L&amp;"Arial,Bold"&amp;18SHEET &amp;P-1 OF &amp;N-1&amp;R&amp;"Arial,Bold"&amp;18&amp;F</firstHeader>
  </headerFooter>
  <rowBreaks count="1" manualBreakCount="1">
    <brk id="40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B9-909F-4426-87D0-3B20FADD0E5D}">
  <dimension ref="A1:U23"/>
  <sheetViews>
    <sheetView view="pageLayout" zoomScaleNormal="130" zoomScaleSheetLayoutView="220" workbookViewId="0">
      <selection activeCell="B19" sqref="B19:J19"/>
    </sheetView>
  </sheetViews>
  <sheetFormatPr defaultColWidth="3.109375" defaultRowHeight="14.4" x14ac:dyDescent="0.3"/>
  <cols>
    <col min="1" max="1" width="2" style="31" customWidth="1"/>
    <col min="2" max="2" width="17" style="31" customWidth="1"/>
    <col min="3" max="3" width="6.6640625" style="31" customWidth="1"/>
    <col min="4" max="6" width="10.44140625" style="31" customWidth="1"/>
    <col min="7" max="7" width="3.6640625" style="31" customWidth="1"/>
    <col min="8" max="8" width="16" style="31" customWidth="1"/>
    <col min="9" max="9" width="10.33203125" style="31" customWidth="1"/>
    <col min="10" max="10" width="12.6640625" style="31" customWidth="1"/>
    <col min="11" max="11" width="2" style="31" customWidth="1"/>
    <col min="12" max="16384" width="3.109375" style="31"/>
  </cols>
  <sheetData>
    <row r="1" spans="1:21" ht="15.75" customHeight="1" x14ac:dyDescent="0.3">
      <c r="A1" s="633" t="s">
        <v>0</v>
      </c>
      <c r="B1" s="634"/>
      <c r="C1" s="634"/>
      <c r="D1" s="635"/>
      <c r="E1" s="636" t="s">
        <v>1</v>
      </c>
      <c r="F1" s="637"/>
      <c r="G1" s="637"/>
      <c r="H1" s="638"/>
      <c r="I1" s="210" t="s">
        <v>2</v>
      </c>
      <c r="J1" s="639" t="s">
        <v>3</v>
      </c>
      <c r="K1" s="640"/>
    </row>
    <row r="2" spans="1:21" ht="18" customHeight="1" x14ac:dyDescent="0.3">
      <c r="A2" s="641" t="s">
        <v>176</v>
      </c>
      <c r="B2" s="470"/>
      <c r="C2" s="470"/>
      <c r="D2" s="471"/>
      <c r="E2" s="469" t="s">
        <v>14</v>
      </c>
      <c r="F2" s="470"/>
      <c r="G2" s="470"/>
      <c r="H2" s="471"/>
      <c r="I2" s="61" t="str">
        <f>'Cover Sheet'!D2</f>
        <v>CDC</v>
      </c>
      <c r="J2" s="548">
        <f>'Cover Sheet'!E2</f>
        <v>46097</v>
      </c>
      <c r="K2" s="549"/>
    </row>
    <row r="3" spans="1:21" ht="9" customHeight="1" x14ac:dyDescent="0.3">
      <c r="A3" s="158"/>
      <c r="B3" s="159"/>
      <c r="C3" s="159"/>
      <c r="D3" s="159"/>
      <c r="E3" s="159"/>
      <c r="F3" s="159"/>
      <c r="G3" s="160"/>
      <c r="H3" s="160"/>
      <c r="I3" s="160"/>
      <c r="J3" s="160"/>
      <c r="K3" s="161"/>
    </row>
    <row r="4" spans="1:21" s="3" customFormat="1" ht="36" customHeight="1" x14ac:dyDescent="0.25">
      <c r="A4" s="212"/>
      <c r="B4" s="163"/>
      <c r="C4" s="163"/>
      <c r="D4" s="163"/>
      <c r="E4" s="163"/>
      <c r="F4" s="163"/>
      <c r="G4" s="213"/>
      <c r="H4" s="214"/>
      <c r="I4" s="215" t="s">
        <v>120</v>
      </c>
      <c r="J4" s="216"/>
      <c r="K4" s="217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138" customFormat="1" ht="32.25" customHeight="1" thickBot="1" x14ac:dyDescent="0.35">
      <c r="A5" s="179"/>
      <c r="B5" s="642" t="s">
        <v>121</v>
      </c>
      <c r="C5" s="643"/>
      <c r="D5" s="643"/>
      <c r="E5" s="643"/>
      <c r="F5" s="643"/>
      <c r="G5" s="643"/>
      <c r="H5" s="643"/>
      <c r="I5" s="643"/>
      <c r="J5" s="644"/>
      <c r="K5" s="164"/>
      <c r="L5" s="137"/>
      <c r="M5" s="137"/>
      <c r="N5" s="137"/>
      <c r="O5" s="137"/>
      <c r="P5" s="137"/>
      <c r="Q5" s="137"/>
      <c r="R5" s="137"/>
      <c r="S5" s="137"/>
      <c r="T5" s="137"/>
      <c r="U5" s="137"/>
    </row>
    <row r="6" spans="1:21" s="12" customFormat="1" ht="25.35" customHeight="1" thickTop="1" x14ac:dyDescent="0.3">
      <c r="A6" s="218"/>
      <c r="B6" s="70" t="s">
        <v>18</v>
      </c>
      <c r="C6" s="645" t="s">
        <v>12</v>
      </c>
      <c r="D6" s="645"/>
      <c r="E6" s="645"/>
      <c r="F6" s="645"/>
      <c r="G6" s="645"/>
      <c r="H6" s="645"/>
      <c r="I6" s="645"/>
      <c r="J6" s="646"/>
      <c r="K6" s="219"/>
    </row>
    <row r="7" spans="1:21" s="138" customFormat="1" ht="27.15" customHeight="1" x14ac:dyDescent="0.3">
      <c r="A7" s="179"/>
      <c r="B7" s="71">
        <v>1</v>
      </c>
      <c r="C7" s="632" t="s">
        <v>122</v>
      </c>
      <c r="D7" s="632"/>
      <c r="E7" s="632"/>
      <c r="F7" s="632"/>
      <c r="G7" s="632"/>
      <c r="H7" s="632"/>
      <c r="I7" s="632"/>
      <c r="J7" s="632"/>
      <c r="K7" s="164"/>
      <c r="L7" s="137"/>
      <c r="M7" s="137"/>
      <c r="N7" s="137"/>
      <c r="O7" s="137"/>
      <c r="P7" s="137"/>
      <c r="Q7" s="137"/>
      <c r="R7" s="137"/>
      <c r="S7" s="137"/>
      <c r="T7" s="137"/>
      <c r="U7" s="137"/>
    </row>
    <row r="8" spans="1:21" s="138" customFormat="1" ht="27.15" customHeight="1" x14ac:dyDescent="0.3">
      <c r="A8" s="179"/>
      <c r="B8" s="71">
        <v>2</v>
      </c>
      <c r="C8" s="632" t="s">
        <v>123</v>
      </c>
      <c r="D8" s="632"/>
      <c r="E8" s="632"/>
      <c r="F8" s="632"/>
      <c r="G8" s="632"/>
      <c r="H8" s="632"/>
      <c r="I8" s="632"/>
      <c r="J8" s="632"/>
      <c r="K8" s="164"/>
      <c r="L8" s="137"/>
      <c r="M8" s="137"/>
      <c r="N8" s="137"/>
      <c r="O8" s="137"/>
      <c r="P8" s="137"/>
      <c r="Q8" s="137"/>
      <c r="R8" s="137"/>
      <c r="S8" s="137"/>
      <c r="T8" s="137"/>
      <c r="U8" s="137"/>
    </row>
    <row r="9" spans="1:21" s="138" customFormat="1" ht="27.15" customHeight="1" x14ac:dyDescent="0.3">
      <c r="A9" s="179"/>
      <c r="B9" s="71">
        <v>3</v>
      </c>
      <c r="C9" s="632" t="s">
        <v>124</v>
      </c>
      <c r="D9" s="632"/>
      <c r="E9" s="632"/>
      <c r="F9" s="632"/>
      <c r="G9" s="632"/>
      <c r="H9" s="632"/>
      <c r="I9" s="632"/>
      <c r="J9" s="632"/>
      <c r="K9" s="164"/>
      <c r="L9" s="137"/>
      <c r="M9" s="137"/>
      <c r="N9" s="137"/>
      <c r="O9" s="137"/>
      <c r="P9" s="137"/>
      <c r="Q9" s="137"/>
      <c r="R9" s="137"/>
      <c r="S9" s="137"/>
      <c r="T9" s="137"/>
      <c r="U9" s="137"/>
    </row>
    <row r="10" spans="1:21" s="138" customFormat="1" ht="27.15" customHeight="1" x14ac:dyDescent="0.3">
      <c r="A10" s="179"/>
      <c r="B10" s="71">
        <v>4</v>
      </c>
      <c r="C10" s="632" t="s">
        <v>24</v>
      </c>
      <c r="D10" s="632"/>
      <c r="E10" s="632"/>
      <c r="F10" s="632"/>
      <c r="G10" s="632"/>
      <c r="H10" s="632"/>
      <c r="I10" s="632"/>
      <c r="J10" s="632"/>
      <c r="K10" s="164"/>
      <c r="L10" s="137"/>
      <c r="M10" s="137"/>
      <c r="N10" s="137"/>
      <c r="O10" s="137"/>
      <c r="P10" s="137"/>
      <c r="Q10" s="137"/>
      <c r="R10" s="137"/>
      <c r="S10" s="137"/>
      <c r="T10" s="137"/>
      <c r="U10" s="137"/>
    </row>
    <row r="11" spans="1:21" s="138" customFormat="1" ht="25.35" customHeight="1" x14ac:dyDescent="0.3">
      <c r="A11" s="220"/>
      <c r="B11" s="653"/>
      <c r="C11" s="554"/>
      <c r="D11" s="163"/>
      <c r="E11" s="163"/>
      <c r="F11" s="163"/>
      <c r="G11" s="163"/>
      <c r="H11" s="221" t="s">
        <v>9</v>
      </c>
      <c r="I11" s="221" t="s">
        <v>10</v>
      </c>
      <c r="J11" s="72" t="s">
        <v>3</v>
      </c>
      <c r="K11" s="164"/>
      <c r="L11" s="137"/>
      <c r="M11" s="137"/>
      <c r="N11" s="137"/>
      <c r="O11" s="137"/>
      <c r="P11" s="137"/>
      <c r="Q11" s="137"/>
      <c r="R11" s="137"/>
      <c r="S11" s="137"/>
      <c r="T11" s="137"/>
      <c r="U11" s="137"/>
    </row>
    <row r="12" spans="1:21" s="138" customFormat="1" ht="25.35" customHeight="1" thickBot="1" x14ac:dyDescent="0.35">
      <c r="A12" s="179"/>
      <c r="B12" s="654"/>
      <c r="C12" s="655"/>
      <c r="D12" s="656" t="s">
        <v>125</v>
      </c>
      <c r="E12" s="657"/>
      <c r="F12" s="658"/>
      <c r="G12" s="163"/>
      <c r="H12" s="222"/>
      <c r="I12" s="222"/>
      <c r="J12" s="223"/>
      <c r="K12" s="164"/>
    </row>
    <row r="13" spans="1:21" s="231" customFormat="1" ht="25.35" customHeight="1" thickBot="1" x14ac:dyDescent="0.35">
      <c r="A13" s="224"/>
      <c r="B13" s="659"/>
      <c r="C13" s="660"/>
      <c r="D13" s="661" t="s">
        <v>126</v>
      </c>
      <c r="E13" s="662"/>
      <c r="F13" s="663"/>
      <c r="G13" s="225"/>
      <c r="H13" s="226"/>
      <c r="I13" s="227"/>
      <c r="J13" s="228"/>
      <c r="K13" s="229"/>
      <c r="L13" s="230"/>
      <c r="M13" s="230"/>
      <c r="N13" s="230"/>
      <c r="O13" s="230"/>
      <c r="P13" s="230"/>
      <c r="Q13" s="230"/>
      <c r="R13" s="230"/>
      <c r="S13" s="230"/>
      <c r="T13" s="230"/>
      <c r="U13" s="230"/>
    </row>
    <row r="14" spans="1:21" s="138" customFormat="1" ht="2.25" customHeight="1" x14ac:dyDescent="0.3">
      <c r="A14" s="179"/>
      <c r="B14" s="664"/>
      <c r="C14" s="665"/>
      <c r="D14" s="665"/>
      <c r="E14" s="665"/>
      <c r="F14" s="665"/>
      <c r="G14" s="665"/>
      <c r="H14" s="665"/>
      <c r="I14" s="665"/>
      <c r="J14" s="666"/>
      <c r="K14" s="164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1" s="138" customFormat="1" ht="36" customHeight="1" x14ac:dyDescent="0.3">
      <c r="A15" s="162"/>
      <c r="B15" s="163"/>
      <c r="C15" s="163"/>
      <c r="D15" s="163"/>
      <c r="E15" s="163"/>
      <c r="F15" s="163"/>
      <c r="G15" s="163"/>
      <c r="H15" s="114"/>
      <c r="I15" s="114"/>
      <c r="J15" s="114"/>
      <c r="K15" s="164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1" s="138" customFormat="1" ht="36" customHeight="1" x14ac:dyDescent="0.3">
      <c r="A16" s="162"/>
      <c r="B16" s="163"/>
      <c r="C16" s="163"/>
      <c r="D16" s="163"/>
      <c r="E16" s="163"/>
      <c r="F16" s="163"/>
      <c r="G16" s="163"/>
      <c r="H16" s="114"/>
      <c r="I16" s="114"/>
      <c r="J16" s="114"/>
      <c r="K16" s="164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1:21" s="138" customFormat="1" ht="36" customHeight="1" x14ac:dyDescent="0.3">
      <c r="A17" s="20"/>
      <c r="B17" s="7"/>
      <c r="C17" s="7"/>
      <c r="D17" s="7"/>
      <c r="E17" s="7"/>
      <c r="F17" s="7"/>
      <c r="G17" s="7"/>
      <c r="H17" s="114"/>
      <c r="I17" s="114"/>
      <c r="J17" s="114"/>
      <c r="K17" s="136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1" s="5" customFormat="1" ht="27" customHeight="1" x14ac:dyDescent="0.3">
      <c r="A18" s="50"/>
      <c r="B18" s="51" t="s">
        <v>11</v>
      </c>
      <c r="C18" s="152"/>
      <c r="D18" s="152"/>
      <c r="E18" s="152"/>
      <c r="F18" s="152"/>
      <c r="G18" s="152"/>
      <c r="H18" s="7"/>
      <c r="I18" s="7"/>
      <c r="J18" s="7"/>
      <c r="K18" s="49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s="2" customFormat="1" ht="23.85" customHeight="1" x14ac:dyDescent="0.3">
      <c r="A19" s="42"/>
      <c r="B19" s="647"/>
      <c r="C19" s="648"/>
      <c r="D19" s="648"/>
      <c r="E19" s="648"/>
      <c r="F19" s="648"/>
      <c r="G19" s="648"/>
      <c r="H19" s="648"/>
      <c r="I19" s="648"/>
      <c r="J19" s="649"/>
      <c r="K19" s="44"/>
    </row>
    <row r="20" spans="1:21" s="153" customFormat="1" ht="23.85" customHeight="1" x14ac:dyDescent="0.3">
      <c r="A20" s="232"/>
      <c r="B20" s="650"/>
      <c r="C20" s="651"/>
      <c r="D20" s="651"/>
      <c r="E20" s="651"/>
      <c r="F20" s="651"/>
      <c r="G20" s="651"/>
      <c r="H20" s="651"/>
      <c r="I20" s="651"/>
      <c r="J20" s="652"/>
      <c r="K20" s="233"/>
    </row>
    <row r="21" spans="1:21" s="153" customFormat="1" ht="23.85" customHeight="1" x14ac:dyDescent="0.3">
      <c r="A21" s="232"/>
      <c r="B21" s="106"/>
      <c r="C21" s="107"/>
      <c r="D21" s="107"/>
      <c r="E21" s="107"/>
      <c r="F21" s="107"/>
      <c r="G21" s="107"/>
      <c r="H21" s="107"/>
      <c r="I21" s="107"/>
      <c r="J21" s="108"/>
      <c r="K21" s="233"/>
    </row>
    <row r="22" spans="1:21" s="153" customFormat="1" ht="23.85" customHeight="1" x14ac:dyDescent="0.3">
      <c r="A22" s="232"/>
      <c r="B22" s="550"/>
      <c r="C22" s="551"/>
      <c r="D22" s="551"/>
      <c r="E22" s="551"/>
      <c r="F22" s="551"/>
      <c r="G22" s="551"/>
      <c r="H22" s="551"/>
      <c r="I22" s="551"/>
      <c r="J22" s="552"/>
      <c r="K22" s="233"/>
    </row>
    <row r="23" spans="1:21" s="153" customFormat="1" ht="11.4" customHeight="1" x14ac:dyDescent="0.3">
      <c r="A23" s="234"/>
      <c r="B23" s="235"/>
      <c r="C23" s="235"/>
      <c r="D23" s="235"/>
      <c r="E23" s="235"/>
      <c r="F23" s="235"/>
      <c r="G23" s="235"/>
      <c r="H23" s="235"/>
      <c r="I23" s="235"/>
      <c r="J23" s="235"/>
      <c r="K23" s="236"/>
    </row>
  </sheetData>
  <mergeCells count="21">
    <mergeCell ref="B19:J19"/>
    <mergeCell ref="B20:J20"/>
    <mergeCell ref="B22:J22"/>
    <mergeCell ref="B11:C11"/>
    <mergeCell ref="B12:C12"/>
    <mergeCell ref="D12:F12"/>
    <mergeCell ref="B13:C13"/>
    <mergeCell ref="D13:F13"/>
    <mergeCell ref="B14:J14"/>
    <mergeCell ref="C10:J10"/>
    <mergeCell ref="A1:D1"/>
    <mergeCell ref="E1:H1"/>
    <mergeCell ref="J1:K1"/>
    <mergeCell ref="A2:D2"/>
    <mergeCell ref="E2:H2"/>
    <mergeCell ref="J2:K2"/>
    <mergeCell ref="B5:J5"/>
    <mergeCell ref="C6:J6"/>
    <mergeCell ref="C7:J7"/>
    <mergeCell ref="C8:J8"/>
    <mergeCell ref="C9:J9"/>
  </mergeCells>
  <pageMargins left="0.24" right="0.24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2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DA7C-4263-4CFC-90FB-34902B0B9128}">
  <sheetPr>
    <pageSetUpPr fitToPage="1"/>
  </sheetPr>
  <dimension ref="A1:U35"/>
  <sheetViews>
    <sheetView view="pageLayout" zoomScale="85" zoomScaleNormal="130" zoomScaleSheetLayoutView="220" zoomScalePageLayoutView="85" workbookViewId="0">
      <selection activeCell="H22" sqref="H22"/>
    </sheetView>
  </sheetViews>
  <sheetFormatPr defaultColWidth="3.109375" defaultRowHeight="14.4" x14ac:dyDescent="0.3"/>
  <cols>
    <col min="1" max="1" width="2" style="31" customWidth="1"/>
    <col min="2" max="2" width="17.33203125" style="31" customWidth="1"/>
    <col min="3" max="3" width="6.5546875" style="31" customWidth="1"/>
    <col min="4" max="4" width="10.33203125" style="31" customWidth="1"/>
    <col min="5" max="5" width="10.5546875" style="31" bestFit="1" customWidth="1"/>
    <col min="6" max="6" width="10.33203125" style="31" customWidth="1"/>
    <col min="7" max="7" width="3.6640625" style="31" customWidth="1"/>
    <col min="8" max="8" width="16" style="31" customWidth="1"/>
    <col min="9" max="9" width="10.88671875" style="31" customWidth="1"/>
    <col min="10" max="10" width="12.6640625" style="31" customWidth="1"/>
    <col min="11" max="11" width="2" style="31" customWidth="1"/>
    <col min="12" max="12" width="9.33203125" style="31" customWidth="1"/>
    <col min="13" max="16384" width="3.109375" style="31"/>
  </cols>
  <sheetData>
    <row r="1" spans="1:21" ht="15.75" customHeight="1" x14ac:dyDescent="0.3">
      <c r="A1" s="636" t="s">
        <v>0</v>
      </c>
      <c r="B1" s="637"/>
      <c r="C1" s="637"/>
      <c r="D1" s="638"/>
      <c r="E1" s="636" t="s">
        <v>1</v>
      </c>
      <c r="F1" s="637"/>
      <c r="G1" s="637"/>
      <c r="H1" s="638"/>
      <c r="I1" s="157" t="s">
        <v>2</v>
      </c>
      <c r="J1" s="667" t="s">
        <v>3</v>
      </c>
      <c r="K1" s="667"/>
    </row>
    <row r="2" spans="1:21" ht="18" customHeight="1" x14ac:dyDescent="0.3">
      <c r="A2" s="469" t="s">
        <v>20</v>
      </c>
      <c r="B2" s="470"/>
      <c r="C2" s="470"/>
      <c r="D2" s="471"/>
      <c r="E2" s="469" t="s">
        <v>175</v>
      </c>
      <c r="F2" s="470"/>
      <c r="G2" s="470"/>
      <c r="H2" s="471"/>
      <c r="I2" s="61" t="str">
        <f>'Cover Sheet'!D2</f>
        <v>CDC</v>
      </c>
      <c r="J2" s="548">
        <f>'Cover Sheet'!E2</f>
        <v>46097</v>
      </c>
      <c r="K2" s="549"/>
    </row>
    <row r="3" spans="1:21" ht="7.5" customHeight="1" x14ac:dyDescent="0.3">
      <c r="A3" s="158"/>
      <c r="B3" s="159"/>
      <c r="C3" s="159"/>
      <c r="D3" s="159"/>
      <c r="E3" s="159"/>
      <c r="F3" s="159"/>
      <c r="G3" s="160"/>
      <c r="H3" s="160"/>
      <c r="I3" s="160"/>
      <c r="J3" s="160"/>
      <c r="K3" s="161"/>
    </row>
    <row r="4" spans="1:21" s="3" customFormat="1" ht="28.65" customHeight="1" x14ac:dyDescent="0.25">
      <c r="A4" s="162"/>
      <c r="B4" s="524" t="s">
        <v>19</v>
      </c>
      <c r="C4" s="524"/>
      <c r="D4" s="524"/>
      <c r="E4" s="524"/>
      <c r="F4" s="524"/>
      <c r="G4" s="163"/>
      <c r="H4" s="668" t="s">
        <v>114</v>
      </c>
      <c r="I4" s="668"/>
      <c r="J4" s="668"/>
      <c r="K4" s="164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153" customFormat="1" ht="27.15" customHeight="1" x14ac:dyDescent="0.3">
      <c r="A5" s="165"/>
      <c r="B5" s="525" t="s">
        <v>12</v>
      </c>
      <c r="C5" s="526"/>
      <c r="D5" s="525" t="s">
        <v>4</v>
      </c>
      <c r="E5" s="588"/>
      <c r="F5" s="526"/>
      <c r="G5" s="579" t="s">
        <v>89</v>
      </c>
      <c r="H5" s="669"/>
      <c r="I5" s="670"/>
      <c r="J5" s="671"/>
      <c r="K5" s="166"/>
      <c r="L5" s="167"/>
      <c r="M5" s="167"/>
      <c r="N5" s="167"/>
      <c r="O5" s="167"/>
      <c r="P5" s="167"/>
      <c r="Q5" s="167"/>
      <c r="R5" s="167"/>
      <c r="S5" s="167"/>
      <c r="T5" s="167"/>
      <c r="U5" s="167"/>
    </row>
    <row r="6" spans="1:21" s="3" customFormat="1" ht="28.5" customHeight="1" thickBot="1" x14ac:dyDescent="0.35">
      <c r="A6" s="168"/>
      <c r="B6" s="674" t="s">
        <v>23</v>
      </c>
      <c r="C6" s="675"/>
      <c r="D6" s="676" t="s">
        <v>249</v>
      </c>
      <c r="E6" s="676"/>
      <c r="F6" s="676"/>
      <c r="G6" s="579"/>
      <c r="H6" s="669"/>
      <c r="I6" s="672"/>
      <c r="J6" s="673"/>
      <c r="K6" s="169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3" customFormat="1" ht="28.5" customHeight="1" x14ac:dyDescent="0.3">
      <c r="A7" s="170"/>
      <c r="B7" s="674" t="s">
        <v>45</v>
      </c>
      <c r="C7" s="675"/>
      <c r="D7" s="680" t="s">
        <v>115</v>
      </c>
      <c r="E7" s="681"/>
      <c r="F7" s="682"/>
      <c r="H7" s="43"/>
      <c r="I7" s="43"/>
      <c r="J7" s="43"/>
      <c r="K7" s="169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 customHeight="1" x14ac:dyDescent="0.3">
      <c r="A8" s="171"/>
      <c r="B8" s="683"/>
      <c r="C8" s="683"/>
      <c r="D8" s="114" t="s">
        <v>6</v>
      </c>
      <c r="E8" s="114" t="s">
        <v>7</v>
      </c>
      <c r="F8" s="114" t="s">
        <v>8</v>
      </c>
      <c r="G8" s="172"/>
      <c r="H8" s="109"/>
      <c r="I8" s="109"/>
      <c r="J8" s="109"/>
      <c r="K8" s="173"/>
    </row>
    <row r="9" spans="1:21" s="138" customFormat="1" ht="25.5" customHeight="1" x14ac:dyDescent="0.3">
      <c r="A9" s="684" t="s">
        <v>25</v>
      </c>
      <c r="B9" s="453"/>
      <c r="C9" s="454"/>
      <c r="D9" s="174">
        <v>0.9</v>
      </c>
      <c r="E9" s="209">
        <v>0.97289999999999999</v>
      </c>
      <c r="F9" s="175">
        <v>1</v>
      </c>
      <c r="G9" s="163"/>
      <c r="H9" s="163"/>
      <c r="I9" s="163"/>
      <c r="J9" s="163"/>
      <c r="K9" s="164"/>
      <c r="L9" s="137"/>
      <c r="M9" s="137"/>
      <c r="N9" s="137"/>
      <c r="O9" s="137"/>
      <c r="P9" s="137"/>
      <c r="Q9" s="137"/>
      <c r="R9" s="137"/>
      <c r="S9" s="137"/>
      <c r="T9" s="137"/>
      <c r="U9" s="137"/>
    </row>
    <row r="10" spans="1:21" s="138" customFormat="1" ht="25.5" customHeight="1" x14ac:dyDescent="0.3">
      <c r="A10" s="685" t="s">
        <v>26</v>
      </c>
      <c r="B10" s="553"/>
      <c r="C10" s="686"/>
      <c r="D10" s="176">
        <v>35</v>
      </c>
      <c r="E10" s="208">
        <v>38.07</v>
      </c>
      <c r="F10" s="176">
        <v>45</v>
      </c>
      <c r="G10" s="177"/>
      <c r="H10" s="178" t="s">
        <v>9</v>
      </c>
      <c r="I10" s="178" t="s">
        <v>10</v>
      </c>
      <c r="J10" s="178" t="s">
        <v>3</v>
      </c>
      <c r="K10" s="164"/>
      <c r="L10" s="137"/>
      <c r="M10" s="137"/>
      <c r="N10" s="137"/>
      <c r="O10" s="137"/>
      <c r="P10" s="137"/>
      <c r="Q10" s="137"/>
      <c r="R10" s="137"/>
      <c r="S10" s="137"/>
      <c r="T10" s="137"/>
      <c r="U10" s="137"/>
    </row>
    <row r="11" spans="1:21" s="138" customFormat="1" ht="7.5" customHeight="1" x14ac:dyDescent="0.3">
      <c r="A11" s="179"/>
      <c r="B11" s="687"/>
      <c r="C11" s="687"/>
      <c r="D11" s="62"/>
      <c r="E11" s="62"/>
      <c r="F11" s="62"/>
      <c r="G11" s="163"/>
      <c r="H11" s="180"/>
      <c r="I11" s="163"/>
      <c r="J11" s="163"/>
      <c r="K11" s="164"/>
      <c r="L11" s="137"/>
      <c r="M11" s="137"/>
      <c r="N11" s="137"/>
      <c r="O11" s="137"/>
      <c r="P11" s="137"/>
      <c r="Q11" s="137"/>
      <c r="R11" s="137"/>
      <c r="S11" s="137"/>
      <c r="T11" s="137"/>
      <c r="U11" s="137"/>
    </row>
    <row r="12" spans="1:21" s="138" customFormat="1" ht="25.5" customHeight="1" thickBot="1" x14ac:dyDescent="0.35">
      <c r="A12" s="685" t="s">
        <v>173</v>
      </c>
      <c r="B12" s="553"/>
      <c r="C12" s="553"/>
      <c r="D12" s="187">
        <f>'Spiral Shield'!D34</f>
        <v>8.8999999999999996E-2</v>
      </c>
      <c r="E12" s="187">
        <f>'Spiral Shield'!E34</f>
        <v>9.0999999999999998E-2</v>
      </c>
      <c r="F12" s="187">
        <f>'Spiral Shield'!F34</f>
        <v>9.2999999999999999E-2</v>
      </c>
      <c r="G12" s="177"/>
      <c r="H12" s="181"/>
      <c r="I12" s="182"/>
      <c r="J12" s="182"/>
      <c r="K12" s="164"/>
      <c r="L12" s="137"/>
      <c r="M12" s="137"/>
      <c r="N12" s="137"/>
      <c r="O12" s="137"/>
      <c r="P12" s="137"/>
      <c r="Q12" s="137"/>
      <c r="R12" s="137"/>
      <c r="S12" s="137"/>
      <c r="T12" s="137"/>
      <c r="U12" s="137"/>
    </row>
    <row r="13" spans="1:21" s="138" customFormat="1" ht="25.5" customHeight="1" thickBot="1" x14ac:dyDescent="0.35">
      <c r="A13" s="685" t="s">
        <v>21</v>
      </c>
      <c r="B13" s="553"/>
      <c r="C13" s="553"/>
      <c r="D13" s="677">
        <v>16</v>
      </c>
      <c r="E13" s="678"/>
      <c r="F13" s="679"/>
      <c r="G13" s="177"/>
      <c r="H13" s="181"/>
      <c r="I13" s="184"/>
      <c r="J13" s="185"/>
      <c r="K13" s="164"/>
      <c r="L13" s="137"/>
      <c r="M13" s="137"/>
      <c r="N13" s="137"/>
      <c r="O13" s="137"/>
      <c r="P13" s="137"/>
      <c r="Q13" s="137"/>
      <c r="R13" s="137"/>
      <c r="S13" s="137"/>
      <c r="T13" s="137"/>
      <c r="U13" s="137"/>
    </row>
    <row r="14" spans="1:21" s="138" customFormat="1" ht="25.5" customHeight="1" thickBot="1" x14ac:dyDescent="0.35">
      <c r="A14" s="685" t="s">
        <v>22</v>
      </c>
      <c r="B14" s="553"/>
      <c r="C14" s="686"/>
      <c r="D14" s="65" t="s">
        <v>97</v>
      </c>
      <c r="E14" s="183">
        <v>8</v>
      </c>
      <c r="F14" s="183" t="s">
        <v>97</v>
      </c>
      <c r="G14" s="163"/>
      <c r="H14" s="181"/>
      <c r="I14" s="184"/>
      <c r="J14" s="185"/>
      <c r="K14" s="164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1" s="138" customFormat="1" ht="25.5" customHeight="1" thickBot="1" x14ac:dyDescent="0.35">
      <c r="A15" s="685" t="s">
        <v>31</v>
      </c>
      <c r="B15" s="553"/>
      <c r="C15" s="686"/>
      <c r="D15" s="64" t="s">
        <v>97</v>
      </c>
      <c r="E15" s="64">
        <v>20.5</v>
      </c>
      <c r="F15" s="64" t="s">
        <v>97</v>
      </c>
      <c r="G15" s="177"/>
      <c r="H15" s="181"/>
      <c r="I15" s="184"/>
      <c r="J15" s="185"/>
      <c r="K15" s="164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1" s="138" customFormat="1" ht="25.5" customHeight="1" thickBot="1" x14ac:dyDescent="0.35">
      <c r="A16" s="685" t="s">
        <v>30</v>
      </c>
      <c r="B16" s="553"/>
      <c r="C16" s="686"/>
      <c r="D16" s="64" t="s">
        <v>97</v>
      </c>
      <c r="E16" s="64">
        <v>30</v>
      </c>
      <c r="F16" s="64" t="s">
        <v>97</v>
      </c>
      <c r="G16" s="177"/>
      <c r="H16" s="181"/>
      <c r="I16" s="184"/>
      <c r="J16" s="185"/>
      <c r="K16" s="164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1:21" s="138" customFormat="1" ht="7.5" customHeight="1" x14ac:dyDescent="0.3">
      <c r="A17" s="179"/>
      <c r="B17" s="687"/>
      <c r="C17" s="687"/>
      <c r="D17" s="62"/>
      <c r="E17" s="62"/>
      <c r="F17" s="62"/>
      <c r="G17" s="163"/>
      <c r="H17" s="186"/>
      <c r="I17" s="184"/>
      <c r="J17" s="185"/>
      <c r="K17" s="164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1" s="138" customFormat="1" ht="25.5" customHeight="1" thickBot="1" x14ac:dyDescent="0.35">
      <c r="A18" s="685" t="s">
        <v>29</v>
      </c>
      <c r="B18" s="553"/>
      <c r="C18" s="686"/>
      <c r="D18" s="187" t="s">
        <v>97</v>
      </c>
      <c r="E18" s="187">
        <v>0.12</v>
      </c>
      <c r="F18" s="187" t="s">
        <v>97</v>
      </c>
      <c r="G18" s="177"/>
      <c r="H18" s="181"/>
      <c r="I18" s="184"/>
      <c r="J18" s="185"/>
      <c r="K18" s="164"/>
      <c r="L18" s="137"/>
      <c r="M18" s="137"/>
      <c r="N18" s="137"/>
      <c r="O18" s="137"/>
      <c r="P18" s="137"/>
      <c r="Q18" s="137"/>
      <c r="R18" s="137"/>
      <c r="S18" s="137"/>
      <c r="T18" s="137"/>
      <c r="U18" s="137"/>
    </row>
    <row r="19" spans="1:21" s="138" customFormat="1" ht="25.5" customHeight="1" thickBot="1" x14ac:dyDescent="0.35">
      <c r="A19" s="685" t="s">
        <v>116</v>
      </c>
      <c r="B19" s="553"/>
      <c r="C19" s="553"/>
      <c r="D19" s="447"/>
      <c r="E19" s="448"/>
      <c r="F19" s="449"/>
      <c r="G19" s="177"/>
      <c r="H19" s="181"/>
      <c r="I19" s="184"/>
      <c r="J19" s="185"/>
      <c r="K19" s="164"/>
      <c r="L19" s="137"/>
      <c r="M19" s="137"/>
      <c r="N19" s="137"/>
      <c r="O19" s="137"/>
      <c r="P19" s="137"/>
      <c r="Q19" s="137"/>
      <c r="R19" s="137"/>
      <c r="S19" s="137"/>
      <c r="T19" s="137"/>
      <c r="U19" s="137"/>
    </row>
    <row r="20" spans="1:21" s="138" customFormat="1" ht="7.5" customHeight="1" x14ac:dyDescent="0.3">
      <c r="A20" s="179"/>
      <c r="B20" s="687"/>
      <c r="C20" s="687"/>
      <c r="D20" s="62"/>
      <c r="E20" s="62"/>
      <c r="F20" s="62"/>
      <c r="G20" s="163"/>
      <c r="H20" s="186"/>
      <c r="I20" s="184"/>
      <c r="J20" s="185"/>
      <c r="K20" s="164"/>
      <c r="L20" s="137"/>
      <c r="M20" s="137"/>
      <c r="N20" s="137"/>
      <c r="O20" s="137"/>
      <c r="P20" s="137"/>
      <c r="Q20" s="137"/>
      <c r="R20" s="137"/>
      <c r="S20" s="137"/>
      <c r="T20" s="137"/>
      <c r="U20" s="137"/>
    </row>
    <row r="21" spans="1:21" s="138" customFormat="1" ht="24.75" customHeight="1" thickBot="1" x14ac:dyDescent="0.35">
      <c r="A21" s="685" t="s">
        <v>117</v>
      </c>
      <c r="B21" s="553"/>
      <c r="C21" s="686"/>
      <c r="D21" s="688" t="s">
        <v>32</v>
      </c>
      <c r="E21" s="688"/>
      <c r="F21" s="688"/>
      <c r="G21" s="177"/>
      <c r="H21" s="181"/>
      <c r="I21" s="184"/>
      <c r="J21" s="185"/>
      <c r="K21" s="164"/>
      <c r="L21" s="137"/>
      <c r="M21" s="137"/>
      <c r="N21" s="137"/>
      <c r="O21" s="137"/>
      <c r="P21" s="137"/>
      <c r="Q21" s="137"/>
      <c r="R21" s="137"/>
      <c r="S21" s="137"/>
      <c r="T21" s="137"/>
      <c r="U21" s="137"/>
    </row>
    <row r="22" spans="1:21" s="138" customFormat="1" ht="24.75" customHeight="1" thickBot="1" x14ac:dyDescent="0.35">
      <c r="A22" s="685" t="s">
        <v>33</v>
      </c>
      <c r="B22" s="553"/>
      <c r="C22" s="686"/>
      <c r="D22" s="67" t="s">
        <v>97</v>
      </c>
      <c r="E22" s="188" t="s">
        <v>97</v>
      </c>
      <c r="F22" s="68" t="s">
        <v>97</v>
      </c>
      <c r="G22" s="177"/>
      <c r="H22" s="181"/>
      <c r="I22" s="184"/>
      <c r="J22" s="185"/>
      <c r="K22" s="164"/>
      <c r="L22" s="137"/>
      <c r="M22" s="137"/>
      <c r="N22" s="137"/>
      <c r="O22" s="137"/>
      <c r="P22" s="137"/>
      <c r="Q22" s="137"/>
      <c r="R22" s="137"/>
      <c r="S22" s="137"/>
      <c r="T22" s="137"/>
      <c r="U22" s="137"/>
    </row>
    <row r="23" spans="1:21" s="138" customFormat="1" ht="24.75" customHeight="1" thickBot="1" x14ac:dyDescent="0.35">
      <c r="A23" s="685" t="s">
        <v>34</v>
      </c>
      <c r="B23" s="553"/>
      <c r="C23" s="686"/>
      <c r="D23" s="67" t="s">
        <v>97</v>
      </c>
      <c r="E23" s="188" t="s">
        <v>97</v>
      </c>
      <c r="F23" s="68" t="s">
        <v>97</v>
      </c>
      <c r="G23" s="177"/>
      <c r="H23" s="181"/>
      <c r="I23" s="184"/>
      <c r="J23" s="185"/>
      <c r="K23" s="164"/>
      <c r="L23" s="137"/>
      <c r="M23" s="137"/>
      <c r="N23" s="137"/>
      <c r="O23" s="137"/>
      <c r="P23" s="137"/>
      <c r="Q23" s="137"/>
      <c r="R23" s="137"/>
      <c r="S23" s="137"/>
      <c r="T23" s="137"/>
      <c r="U23" s="137"/>
    </row>
    <row r="24" spans="1:21" s="138" customFormat="1" ht="24.75" customHeight="1" thickBot="1" x14ac:dyDescent="0.35">
      <c r="A24" s="685" t="s">
        <v>118</v>
      </c>
      <c r="B24" s="553"/>
      <c r="C24" s="686"/>
      <c r="D24" s="188" t="s">
        <v>97</v>
      </c>
      <c r="E24" s="188" t="s">
        <v>97</v>
      </c>
      <c r="F24" s="188" t="s">
        <v>97</v>
      </c>
      <c r="G24" s="177"/>
      <c r="H24" s="181"/>
      <c r="I24" s="184"/>
      <c r="J24" s="185"/>
      <c r="K24" s="164"/>
      <c r="L24" s="137"/>
      <c r="M24" s="137"/>
      <c r="N24" s="137"/>
      <c r="O24" s="137"/>
      <c r="P24" s="137"/>
      <c r="Q24" s="137"/>
      <c r="R24" s="137"/>
      <c r="S24" s="137"/>
      <c r="T24" s="137"/>
      <c r="U24" s="137"/>
    </row>
    <row r="25" spans="1:21" s="138" customFormat="1" ht="7.5" customHeight="1" x14ac:dyDescent="0.3">
      <c r="A25" s="179"/>
      <c r="B25" s="687"/>
      <c r="C25" s="687"/>
      <c r="D25" s="62"/>
      <c r="E25" s="62"/>
      <c r="F25" s="62"/>
      <c r="G25" s="163"/>
      <c r="H25" s="186"/>
      <c r="I25" s="184"/>
      <c r="J25" s="185"/>
      <c r="K25" s="164"/>
      <c r="L25" s="137"/>
      <c r="M25" s="137"/>
      <c r="N25" s="137"/>
      <c r="O25" s="137"/>
      <c r="P25" s="137"/>
      <c r="Q25" s="137"/>
      <c r="R25" s="137"/>
      <c r="S25" s="137"/>
      <c r="T25" s="137"/>
      <c r="U25" s="137"/>
    </row>
    <row r="26" spans="1:21" s="138" customFormat="1" ht="24.75" customHeight="1" thickBot="1" x14ac:dyDescent="0.35">
      <c r="A26" s="689" t="s">
        <v>40</v>
      </c>
      <c r="B26" s="690"/>
      <c r="C26" s="691"/>
      <c r="D26" s="64" t="s">
        <v>97</v>
      </c>
      <c r="E26" s="408">
        <v>1.8</v>
      </c>
      <c r="F26" s="64" t="s">
        <v>97</v>
      </c>
      <c r="G26" s="177"/>
      <c r="H26" s="181"/>
      <c r="I26" s="184"/>
      <c r="J26" s="185"/>
      <c r="K26" s="164"/>
      <c r="L26" s="137"/>
      <c r="M26" s="137"/>
      <c r="N26" s="137"/>
      <c r="O26" s="137"/>
      <c r="P26" s="137"/>
      <c r="Q26" s="137"/>
      <c r="R26" s="137"/>
      <c r="S26" s="137"/>
      <c r="T26" s="137"/>
      <c r="U26" s="137"/>
    </row>
    <row r="27" spans="1:21" s="138" customFormat="1" ht="24.75" customHeight="1" thickBot="1" x14ac:dyDescent="0.35">
      <c r="A27" s="689" t="s">
        <v>41</v>
      </c>
      <c r="B27" s="690"/>
      <c r="C27" s="691"/>
      <c r="D27" s="65" t="s">
        <v>97</v>
      </c>
      <c r="E27" s="326">
        <v>1.8</v>
      </c>
      <c r="F27" s="66" t="s">
        <v>97</v>
      </c>
      <c r="G27" s="163"/>
      <c r="H27" s="181"/>
      <c r="I27" s="184"/>
      <c r="J27" s="185"/>
      <c r="K27" s="164"/>
      <c r="L27" s="137"/>
      <c r="M27" s="137"/>
      <c r="N27" s="137"/>
      <c r="O27" s="137"/>
      <c r="P27" s="137"/>
      <c r="Q27" s="137"/>
      <c r="R27" s="137"/>
      <c r="S27" s="137"/>
      <c r="T27" s="137"/>
      <c r="U27" s="137"/>
    </row>
    <row r="28" spans="1:21" s="138" customFormat="1" ht="7.5" customHeight="1" x14ac:dyDescent="0.3">
      <c r="A28" s="179"/>
      <c r="B28" s="687"/>
      <c r="C28" s="687"/>
      <c r="D28" s="48"/>
      <c r="E28" s="48"/>
      <c r="F28" s="48"/>
      <c r="G28" s="163"/>
      <c r="H28" s="163"/>
      <c r="I28" s="184"/>
      <c r="J28" s="185"/>
      <c r="K28" s="164"/>
      <c r="L28" s="137"/>
      <c r="M28" s="137"/>
      <c r="N28" s="137"/>
      <c r="O28" s="137"/>
      <c r="P28" s="137"/>
      <c r="Q28" s="137"/>
      <c r="R28" s="137"/>
      <c r="S28" s="137"/>
      <c r="T28" s="137"/>
      <c r="U28" s="137"/>
    </row>
    <row r="29" spans="1:21" s="138" customFormat="1" ht="25.5" customHeight="1" thickBot="1" x14ac:dyDescent="0.35">
      <c r="A29" s="684" t="s">
        <v>42</v>
      </c>
      <c r="B29" s="453"/>
      <c r="C29" s="454"/>
      <c r="D29" s="189">
        <v>0.10199999999999999</v>
      </c>
      <c r="E29" s="189">
        <v>0.104</v>
      </c>
      <c r="F29" s="190">
        <v>0.106</v>
      </c>
      <c r="G29" s="163"/>
      <c r="H29" s="191"/>
      <c r="I29" s="184"/>
      <c r="J29" s="185"/>
      <c r="K29" s="164"/>
      <c r="L29" s="137"/>
      <c r="M29" s="137"/>
      <c r="N29" s="137"/>
      <c r="O29" s="137"/>
      <c r="P29" s="137"/>
      <c r="Q29" s="137"/>
      <c r="R29" s="137"/>
      <c r="S29" s="137"/>
      <c r="T29" s="137"/>
      <c r="U29" s="137"/>
    </row>
    <row r="30" spans="1:21" s="196" customFormat="1" ht="25.35" customHeight="1" thickBot="1" x14ac:dyDescent="0.35">
      <c r="A30" s="692" t="s">
        <v>119</v>
      </c>
      <c r="B30" s="693"/>
      <c r="C30" s="693"/>
      <c r="D30" s="694" t="s">
        <v>97</v>
      </c>
      <c r="E30" s="695"/>
      <c r="F30" s="696"/>
      <c r="G30" s="16"/>
      <c r="H30" s="192"/>
      <c r="I30" s="193"/>
      <c r="J30" s="193"/>
      <c r="K30" s="194"/>
      <c r="L30" s="195"/>
      <c r="M30" s="195"/>
      <c r="N30" s="195"/>
      <c r="O30" s="195"/>
      <c r="P30" s="195"/>
      <c r="Q30" s="195"/>
      <c r="R30" s="195"/>
      <c r="S30" s="195"/>
      <c r="T30" s="195"/>
      <c r="U30" s="195"/>
    </row>
    <row r="31" spans="1:21" s="5" customFormat="1" ht="7.5" customHeight="1" x14ac:dyDescent="0.3">
      <c r="A31" s="197"/>
      <c r="B31" s="198"/>
      <c r="C31" s="198"/>
      <c r="D31" s="198"/>
      <c r="E31" s="198"/>
      <c r="F31" s="198"/>
      <c r="G31" s="198"/>
      <c r="H31" s="198"/>
      <c r="I31" s="198"/>
      <c r="J31" s="198"/>
      <c r="K31" s="199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s="5" customFormat="1" ht="24" customHeight="1" x14ac:dyDescent="0.3">
      <c r="A32" s="197"/>
      <c r="B32" s="51" t="s">
        <v>11</v>
      </c>
      <c r="C32" s="163"/>
      <c r="D32" s="163"/>
      <c r="E32" s="163"/>
      <c r="F32" s="163"/>
      <c r="G32" s="163"/>
      <c r="H32" s="163"/>
      <c r="I32" s="163"/>
      <c r="J32" s="163"/>
      <c r="K32" s="199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11" s="6" customFormat="1" ht="27" customHeight="1" x14ac:dyDescent="0.3">
      <c r="A33" s="200"/>
      <c r="B33" s="697"/>
      <c r="C33" s="698"/>
      <c r="D33" s="698"/>
      <c r="E33" s="698"/>
      <c r="F33" s="698"/>
      <c r="G33" s="698"/>
      <c r="H33" s="698"/>
      <c r="I33" s="698"/>
      <c r="J33" s="699"/>
      <c r="K33" s="201"/>
    </row>
    <row r="34" spans="1:11" s="204" customFormat="1" ht="27" customHeight="1" x14ac:dyDescent="0.3">
      <c r="A34" s="202"/>
      <c r="B34" s="700"/>
      <c r="C34" s="701"/>
      <c r="D34" s="701"/>
      <c r="E34" s="701"/>
      <c r="F34" s="701"/>
      <c r="G34" s="701"/>
      <c r="H34" s="701"/>
      <c r="I34" s="701"/>
      <c r="J34" s="702"/>
      <c r="K34" s="203"/>
    </row>
    <row r="35" spans="1:11" s="153" customFormat="1" ht="11.4" customHeight="1" x14ac:dyDescent="0.25">
      <c r="A35" s="205"/>
      <c r="B35" s="206"/>
      <c r="C35" s="206"/>
      <c r="D35" s="206"/>
      <c r="E35" s="206"/>
      <c r="F35" s="206"/>
      <c r="G35" s="206"/>
      <c r="H35" s="206"/>
      <c r="I35" s="206"/>
      <c r="J35" s="206"/>
      <c r="K35" s="207"/>
    </row>
  </sheetData>
  <mergeCells count="44">
    <mergeCell ref="B33:J34"/>
    <mergeCell ref="A27:C27"/>
    <mergeCell ref="B28:C28"/>
    <mergeCell ref="A29:C29"/>
    <mergeCell ref="A30:C30"/>
    <mergeCell ref="D30:F30"/>
    <mergeCell ref="A22:C22"/>
    <mergeCell ref="A23:C23"/>
    <mergeCell ref="A24:C24"/>
    <mergeCell ref="B25:C25"/>
    <mergeCell ref="A26:C26"/>
    <mergeCell ref="A18:C18"/>
    <mergeCell ref="A19:C19"/>
    <mergeCell ref="D19:F19"/>
    <mergeCell ref="B20:C20"/>
    <mergeCell ref="A21:C21"/>
    <mergeCell ref="D21:F21"/>
    <mergeCell ref="A14:C14"/>
    <mergeCell ref="A15:C15"/>
    <mergeCell ref="A16:C16"/>
    <mergeCell ref="B17:C17"/>
    <mergeCell ref="A13:C13"/>
    <mergeCell ref="D13:F13"/>
    <mergeCell ref="B7:C7"/>
    <mergeCell ref="D7:F7"/>
    <mergeCell ref="B8:C8"/>
    <mergeCell ref="A9:C9"/>
    <mergeCell ref="A10:C10"/>
    <mergeCell ref="B11:C11"/>
    <mergeCell ref="A12:C12"/>
    <mergeCell ref="B4:F4"/>
    <mergeCell ref="H4:J4"/>
    <mergeCell ref="B5:C5"/>
    <mergeCell ref="D5:F5"/>
    <mergeCell ref="G5:H6"/>
    <mergeCell ref="I5:J6"/>
    <mergeCell ref="B6:C6"/>
    <mergeCell ref="D6:F6"/>
    <mergeCell ref="A1:D1"/>
    <mergeCell ref="E1:H1"/>
    <mergeCell ref="J1:K1"/>
    <mergeCell ref="A2:D2"/>
    <mergeCell ref="E2:H2"/>
    <mergeCell ref="J2:K2"/>
  </mergeCells>
  <pageMargins left="0.24" right="0.24" top="0.53" bottom="0.1" header="0.2" footer="0"/>
  <pageSetup scale="98" orientation="portrait" r:id="rId1"/>
  <headerFooter>
    <oddHeader>&amp;L&amp;"Arial,Bold"&amp;18SHEET &amp;P-1 OF &amp;N-1&amp;R&amp;"Arial,Bold"&amp;18&amp;F</oddHeader>
    <firstHeader>&amp;L&amp;"Arial,Bold"&amp;18SHEET &amp;P-1 OF &amp;N-1&amp;R&amp;"Arial,Bold"&amp;18&amp;F</firstHeader>
  </headerFooter>
  <rowBreaks count="1" manualBreakCount="1">
    <brk id="3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9054-DEF8-4B16-B13C-A253FA6F57C2}">
  <dimension ref="A1:U23"/>
  <sheetViews>
    <sheetView view="pageLayout" zoomScaleNormal="130" zoomScaleSheetLayoutView="220" workbookViewId="0">
      <selection activeCell="B19" sqref="B19:J19"/>
    </sheetView>
  </sheetViews>
  <sheetFormatPr defaultColWidth="3.109375" defaultRowHeight="14.4" x14ac:dyDescent="0.3"/>
  <cols>
    <col min="1" max="1" width="2" style="31" customWidth="1"/>
    <col min="2" max="2" width="17" style="31" customWidth="1"/>
    <col min="3" max="3" width="6.6640625" style="31" customWidth="1"/>
    <col min="4" max="6" width="10.44140625" style="31" customWidth="1"/>
    <col min="7" max="7" width="3.6640625" style="31" customWidth="1"/>
    <col min="8" max="8" width="16" style="31" customWidth="1"/>
    <col min="9" max="9" width="10.33203125" style="31" customWidth="1"/>
    <col min="10" max="10" width="12.6640625" style="31" customWidth="1"/>
    <col min="11" max="11" width="2" style="31" customWidth="1"/>
    <col min="12" max="16384" width="3.109375" style="31"/>
  </cols>
  <sheetData>
    <row r="1" spans="1:21" ht="15.75" customHeight="1" x14ac:dyDescent="0.3">
      <c r="A1" s="633" t="s">
        <v>0</v>
      </c>
      <c r="B1" s="634"/>
      <c r="C1" s="634"/>
      <c r="D1" s="635"/>
      <c r="E1" s="636" t="s">
        <v>1</v>
      </c>
      <c r="F1" s="637"/>
      <c r="G1" s="637"/>
      <c r="H1" s="638"/>
      <c r="I1" s="210" t="s">
        <v>2</v>
      </c>
      <c r="J1" s="639" t="s">
        <v>3</v>
      </c>
      <c r="K1" s="640"/>
    </row>
    <row r="2" spans="1:21" ht="18" customHeight="1" x14ac:dyDescent="0.3">
      <c r="A2" s="641" t="s">
        <v>27</v>
      </c>
      <c r="B2" s="470"/>
      <c r="C2" s="470"/>
      <c r="D2" s="471"/>
      <c r="E2" s="469" t="s">
        <v>14</v>
      </c>
      <c r="F2" s="470"/>
      <c r="G2" s="470"/>
      <c r="H2" s="471"/>
      <c r="I2" s="61" t="str">
        <f>'Cover Sheet'!D2</f>
        <v>CDC</v>
      </c>
      <c r="J2" s="548">
        <f>'Cover Sheet'!E2</f>
        <v>46097</v>
      </c>
      <c r="K2" s="549"/>
    </row>
    <row r="3" spans="1:21" ht="9" customHeight="1" x14ac:dyDescent="0.3">
      <c r="A3" s="158"/>
      <c r="B3" s="159"/>
      <c r="C3" s="159"/>
      <c r="D3" s="159"/>
      <c r="E3" s="159"/>
      <c r="F3" s="159"/>
      <c r="G3" s="160"/>
      <c r="H3" s="160"/>
      <c r="I3" s="160"/>
      <c r="J3" s="160"/>
      <c r="K3" s="161"/>
    </row>
    <row r="4" spans="1:21" s="3" customFormat="1" ht="36" customHeight="1" x14ac:dyDescent="0.25">
      <c r="A4" s="212"/>
      <c r="B4" s="163"/>
      <c r="C4" s="163"/>
      <c r="D4" s="163"/>
      <c r="E4" s="163"/>
      <c r="F4" s="163"/>
      <c r="G4" s="213"/>
      <c r="H4" s="214"/>
      <c r="I4" s="215" t="s">
        <v>120</v>
      </c>
      <c r="J4" s="216"/>
      <c r="K4" s="217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138" customFormat="1" ht="32.25" customHeight="1" thickBot="1" x14ac:dyDescent="0.35">
      <c r="A5" s="179"/>
      <c r="B5" s="642" t="s">
        <v>121</v>
      </c>
      <c r="C5" s="643"/>
      <c r="D5" s="643"/>
      <c r="E5" s="643"/>
      <c r="F5" s="643"/>
      <c r="G5" s="643"/>
      <c r="H5" s="643"/>
      <c r="I5" s="643"/>
      <c r="J5" s="644"/>
      <c r="K5" s="164"/>
      <c r="L5" s="137"/>
      <c r="M5" s="137"/>
      <c r="N5" s="137"/>
      <c r="O5" s="137"/>
      <c r="P5" s="137"/>
      <c r="Q5" s="137"/>
      <c r="R5" s="137"/>
      <c r="S5" s="137"/>
      <c r="T5" s="137"/>
      <c r="U5" s="137"/>
    </row>
    <row r="6" spans="1:21" s="12" customFormat="1" ht="25.35" customHeight="1" thickTop="1" x14ac:dyDescent="0.3">
      <c r="A6" s="218"/>
      <c r="B6" s="70" t="s">
        <v>18</v>
      </c>
      <c r="C6" s="645" t="s">
        <v>12</v>
      </c>
      <c r="D6" s="645"/>
      <c r="E6" s="645"/>
      <c r="F6" s="645"/>
      <c r="G6" s="645"/>
      <c r="H6" s="645"/>
      <c r="I6" s="645"/>
      <c r="J6" s="646"/>
      <c r="K6" s="219"/>
    </row>
    <row r="7" spans="1:21" s="138" customFormat="1" ht="27.15" customHeight="1" x14ac:dyDescent="0.3">
      <c r="A7" s="179"/>
      <c r="B7" s="71">
        <v>1</v>
      </c>
      <c r="C7" s="632" t="s">
        <v>122</v>
      </c>
      <c r="D7" s="632"/>
      <c r="E7" s="632"/>
      <c r="F7" s="632"/>
      <c r="G7" s="632"/>
      <c r="H7" s="632"/>
      <c r="I7" s="632"/>
      <c r="J7" s="632"/>
      <c r="K7" s="164"/>
      <c r="L7" s="137"/>
      <c r="M7" s="137"/>
      <c r="N7" s="137"/>
      <c r="O7" s="137"/>
      <c r="P7" s="137"/>
      <c r="Q7" s="137"/>
      <c r="R7" s="137"/>
      <c r="S7" s="137"/>
      <c r="T7" s="137"/>
      <c r="U7" s="137"/>
    </row>
    <row r="8" spans="1:21" s="138" customFormat="1" ht="27.15" customHeight="1" x14ac:dyDescent="0.3">
      <c r="A8" s="179"/>
      <c r="B8" s="71">
        <v>2</v>
      </c>
      <c r="C8" s="632" t="s">
        <v>123</v>
      </c>
      <c r="D8" s="632"/>
      <c r="E8" s="632"/>
      <c r="F8" s="632"/>
      <c r="G8" s="632"/>
      <c r="H8" s="632"/>
      <c r="I8" s="632"/>
      <c r="J8" s="632"/>
      <c r="K8" s="164"/>
      <c r="L8" s="137"/>
      <c r="M8" s="137"/>
      <c r="N8" s="137"/>
      <c r="O8" s="137"/>
      <c r="P8" s="137"/>
      <c r="Q8" s="137"/>
      <c r="R8" s="137"/>
      <c r="S8" s="137"/>
      <c r="T8" s="137"/>
      <c r="U8" s="137"/>
    </row>
    <row r="9" spans="1:21" s="138" customFormat="1" ht="27.15" customHeight="1" x14ac:dyDescent="0.3">
      <c r="A9" s="179"/>
      <c r="B9" s="71">
        <v>3</v>
      </c>
      <c r="C9" s="632" t="s">
        <v>124</v>
      </c>
      <c r="D9" s="632"/>
      <c r="E9" s="632"/>
      <c r="F9" s="632"/>
      <c r="G9" s="632"/>
      <c r="H9" s="632"/>
      <c r="I9" s="632"/>
      <c r="J9" s="632"/>
      <c r="K9" s="164"/>
      <c r="L9" s="137"/>
      <c r="M9" s="137"/>
      <c r="N9" s="137"/>
      <c r="O9" s="137"/>
      <c r="P9" s="137"/>
      <c r="Q9" s="137"/>
      <c r="R9" s="137"/>
      <c r="S9" s="137"/>
      <c r="T9" s="137"/>
      <c r="U9" s="137"/>
    </row>
    <row r="10" spans="1:21" s="138" customFormat="1" ht="27.15" customHeight="1" x14ac:dyDescent="0.3">
      <c r="A10" s="179"/>
      <c r="B10" s="71">
        <v>4</v>
      </c>
      <c r="C10" s="632" t="s">
        <v>24</v>
      </c>
      <c r="D10" s="632"/>
      <c r="E10" s="632"/>
      <c r="F10" s="632"/>
      <c r="G10" s="632"/>
      <c r="H10" s="632"/>
      <c r="I10" s="632"/>
      <c r="J10" s="632"/>
      <c r="K10" s="164"/>
      <c r="L10" s="137"/>
      <c r="M10" s="137"/>
      <c r="N10" s="137"/>
      <c r="O10" s="137"/>
      <c r="P10" s="137"/>
      <c r="Q10" s="137"/>
      <c r="R10" s="137"/>
      <c r="S10" s="137"/>
      <c r="T10" s="137"/>
      <c r="U10" s="137"/>
    </row>
    <row r="11" spans="1:21" s="138" customFormat="1" ht="25.35" customHeight="1" x14ac:dyDescent="0.3">
      <c r="A11" s="220"/>
      <c r="B11" s="653"/>
      <c r="C11" s="554"/>
      <c r="D11" s="163"/>
      <c r="E11" s="163"/>
      <c r="F11" s="163"/>
      <c r="G11" s="163"/>
      <c r="H11" s="221" t="s">
        <v>9</v>
      </c>
      <c r="I11" s="221" t="s">
        <v>10</v>
      </c>
      <c r="J11" s="72" t="s">
        <v>3</v>
      </c>
      <c r="K11" s="164"/>
      <c r="L11" s="137"/>
      <c r="M11" s="137"/>
      <c r="N11" s="137"/>
      <c r="O11" s="137"/>
      <c r="P11" s="137"/>
      <c r="Q11" s="137"/>
      <c r="R11" s="137"/>
      <c r="S11" s="137"/>
      <c r="T11" s="137"/>
      <c r="U11" s="137"/>
    </row>
    <row r="12" spans="1:21" s="138" customFormat="1" ht="25.35" customHeight="1" thickBot="1" x14ac:dyDescent="0.35">
      <c r="A12" s="179"/>
      <c r="B12" s="654"/>
      <c r="C12" s="655"/>
      <c r="D12" s="656" t="s">
        <v>125</v>
      </c>
      <c r="E12" s="657"/>
      <c r="F12" s="658"/>
      <c r="G12" s="163"/>
      <c r="H12" s="222"/>
      <c r="I12" s="222"/>
      <c r="J12" s="223"/>
      <c r="K12" s="164"/>
    </row>
    <row r="13" spans="1:21" s="231" customFormat="1" ht="25.35" customHeight="1" thickBot="1" x14ac:dyDescent="0.35">
      <c r="A13" s="224"/>
      <c r="B13" s="659"/>
      <c r="C13" s="660"/>
      <c r="D13" s="661" t="s">
        <v>126</v>
      </c>
      <c r="E13" s="662"/>
      <c r="F13" s="663"/>
      <c r="G13" s="225"/>
      <c r="H13" s="226"/>
      <c r="I13" s="227"/>
      <c r="J13" s="228"/>
      <c r="K13" s="229"/>
      <c r="L13" s="230"/>
      <c r="M13" s="230"/>
      <c r="N13" s="230"/>
      <c r="O13" s="230"/>
      <c r="P13" s="230"/>
      <c r="Q13" s="230"/>
      <c r="R13" s="230"/>
      <c r="S13" s="230"/>
      <c r="T13" s="230"/>
      <c r="U13" s="230"/>
    </row>
    <row r="14" spans="1:21" s="138" customFormat="1" ht="2.25" customHeight="1" x14ac:dyDescent="0.3">
      <c r="A14" s="179"/>
      <c r="B14" s="664"/>
      <c r="C14" s="665"/>
      <c r="D14" s="665"/>
      <c r="E14" s="665"/>
      <c r="F14" s="665"/>
      <c r="G14" s="665"/>
      <c r="H14" s="665"/>
      <c r="I14" s="665"/>
      <c r="J14" s="666"/>
      <c r="K14" s="164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1" s="138" customFormat="1" ht="36" customHeight="1" x14ac:dyDescent="0.3">
      <c r="A15" s="162"/>
      <c r="B15" s="163"/>
      <c r="C15" s="163"/>
      <c r="D15" s="163"/>
      <c r="E15" s="163"/>
      <c r="F15" s="163"/>
      <c r="G15" s="163"/>
      <c r="H15" s="114"/>
      <c r="I15" s="114"/>
      <c r="J15" s="114"/>
      <c r="K15" s="164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1" s="138" customFormat="1" ht="36" customHeight="1" x14ac:dyDescent="0.3">
      <c r="A16" s="162"/>
      <c r="B16" s="163"/>
      <c r="C16" s="163"/>
      <c r="D16" s="163"/>
      <c r="E16" s="163"/>
      <c r="F16" s="163"/>
      <c r="G16" s="163"/>
      <c r="H16" s="114"/>
      <c r="I16" s="114"/>
      <c r="J16" s="114"/>
      <c r="K16" s="164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1:21" s="138" customFormat="1" ht="36" customHeight="1" x14ac:dyDescent="0.3">
      <c r="A17" s="20"/>
      <c r="B17" s="7"/>
      <c r="C17" s="7"/>
      <c r="D17" s="7"/>
      <c r="E17" s="7"/>
      <c r="F17" s="7"/>
      <c r="G17" s="7"/>
      <c r="H17" s="114"/>
      <c r="I17" s="114"/>
      <c r="J17" s="114"/>
      <c r="K17" s="136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1" s="5" customFormat="1" ht="27" customHeight="1" x14ac:dyDescent="0.3">
      <c r="A18" s="50"/>
      <c r="B18" s="51" t="s">
        <v>11</v>
      </c>
      <c r="C18" s="152"/>
      <c r="D18" s="152"/>
      <c r="E18" s="152"/>
      <c r="F18" s="152"/>
      <c r="G18" s="152"/>
      <c r="H18" s="7"/>
      <c r="I18" s="7"/>
      <c r="J18" s="7"/>
      <c r="K18" s="49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s="2" customFormat="1" ht="23.85" customHeight="1" x14ac:dyDescent="0.3">
      <c r="A19" s="42"/>
      <c r="B19" s="647"/>
      <c r="C19" s="648"/>
      <c r="D19" s="648"/>
      <c r="E19" s="648"/>
      <c r="F19" s="648"/>
      <c r="G19" s="648"/>
      <c r="H19" s="648"/>
      <c r="I19" s="648"/>
      <c r="J19" s="649"/>
      <c r="K19" s="44"/>
    </row>
    <row r="20" spans="1:21" s="153" customFormat="1" ht="23.85" customHeight="1" x14ac:dyDescent="0.3">
      <c r="A20" s="232"/>
      <c r="B20" s="650"/>
      <c r="C20" s="651"/>
      <c r="D20" s="651"/>
      <c r="E20" s="651"/>
      <c r="F20" s="651"/>
      <c r="G20" s="651"/>
      <c r="H20" s="651"/>
      <c r="I20" s="651"/>
      <c r="J20" s="652"/>
      <c r="K20" s="233"/>
    </row>
    <row r="21" spans="1:21" s="153" customFormat="1" ht="23.85" customHeight="1" x14ac:dyDescent="0.3">
      <c r="A21" s="232"/>
      <c r="B21" s="106"/>
      <c r="C21" s="107"/>
      <c r="D21" s="107"/>
      <c r="E21" s="107"/>
      <c r="F21" s="107"/>
      <c r="G21" s="107"/>
      <c r="H21" s="107"/>
      <c r="I21" s="107"/>
      <c r="J21" s="108"/>
      <c r="K21" s="233"/>
    </row>
    <row r="22" spans="1:21" s="153" customFormat="1" ht="23.85" customHeight="1" x14ac:dyDescent="0.3">
      <c r="A22" s="232"/>
      <c r="B22" s="550"/>
      <c r="C22" s="551"/>
      <c r="D22" s="551"/>
      <c r="E22" s="551"/>
      <c r="F22" s="551"/>
      <c r="G22" s="551"/>
      <c r="H22" s="551"/>
      <c r="I22" s="551"/>
      <c r="J22" s="552"/>
      <c r="K22" s="233"/>
    </row>
    <row r="23" spans="1:21" s="153" customFormat="1" ht="11.4" customHeight="1" x14ac:dyDescent="0.3">
      <c r="A23" s="234"/>
      <c r="B23" s="235"/>
      <c r="C23" s="235"/>
      <c r="D23" s="235"/>
      <c r="E23" s="235"/>
      <c r="F23" s="235"/>
      <c r="G23" s="235"/>
      <c r="H23" s="235"/>
      <c r="I23" s="235"/>
      <c r="J23" s="235"/>
      <c r="K23" s="236"/>
    </row>
  </sheetData>
  <mergeCells count="21">
    <mergeCell ref="B19:J19"/>
    <mergeCell ref="B20:J20"/>
    <mergeCell ref="B22:J22"/>
    <mergeCell ref="B11:C11"/>
    <mergeCell ref="B12:C12"/>
    <mergeCell ref="D12:F12"/>
    <mergeCell ref="B13:C13"/>
    <mergeCell ref="D13:F13"/>
    <mergeCell ref="B14:J14"/>
    <mergeCell ref="C10:J10"/>
    <mergeCell ref="A1:D1"/>
    <mergeCell ref="E1:H1"/>
    <mergeCell ref="J1:K1"/>
    <mergeCell ref="A2:D2"/>
    <mergeCell ref="E2:H2"/>
    <mergeCell ref="J2:K2"/>
    <mergeCell ref="B5:J5"/>
    <mergeCell ref="C6:J6"/>
    <mergeCell ref="C7:J7"/>
    <mergeCell ref="C8:J8"/>
    <mergeCell ref="C9:J9"/>
  </mergeCells>
  <pageMargins left="0.24" right="0.24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2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235C-EE6C-40B2-B6D6-46C9796EF881}">
  <sheetPr>
    <pageSetUpPr fitToPage="1"/>
  </sheetPr>
  <dimension ref="A1:T29"/>
  <sheetViews>
    <sheetView view="pageLayout" zoomScaleNormal="130" zoomScaleSheetLayoutView="220" workbookViewId="0">
      <selection activeCell="C7" sqref="C7:D7"/>
    </sheetView>
  </sheetViews>
  <sheetFormatPr defaultColWidth="3" defaultRowHeight="14.4" x14ac:dyDescent="0.3"/>
  <cols>
    <col min="1" max="1" width="2" style="31" customWidth="1"/>
    <col min="2" max="2" width="16.5546875" style="31" customWidth="1"/>
    <col min="3" max="6" width="9.5546875" style="31" customWidth="1"/>
    <col min="7" max="7" width="19.109375" style="31" customWidth="1"/>
    <col min="8" max="8" width="11.44140625" style="31" customWidth="1"/>
    <col min="9" max="9" width="12.6640625" style="31" customWidth="1"/>
    <col min="10" max="11" width="2" style="31" customWidth="1"/>
    <col min="12" max="16384" width="3" style="31"/>
  </cols>
  <sheetData>
    <row r="1" spans="1:20" ht="15.75" customHeight="1" x14ac:dyDescent="0.3">
      <c r="A1" s="703" t="s">
        <v>0</v>
      </c>
      <c r="B1" s="704"/>
      <c r="C1" s="704"/>
      <c r="D1" s="705"/>
      <c r="E1" s="706" t="s">
        <v>1</v>
      </c>
      <c r="F1" s="707"/>
      <c r="G1" s="708"/>
      <c r="H1" s="69" t="s">
        <v>2</v>
      </c>
      <c r="I1" s="709" t="s">
        <v>3</v>
      </c>
      <c r="J1" s="710"/>
    </row>
    <row r="2" spans="1:20" ht="18" customHeight="1" x14ac:dyDescent="0.3">
      <c r="A2" s="711" t="s">
        <v>46</v>
      </c>
      <c r="B2" s="543"/>
      <c r="C2" s="543"/>
      <c r="D2" s="544"/>
      <c r="E2" s="712" t="s">
        <v>13</v>
      </c>
      <c r="F2" s="713"/>
      <c r="G2" s="714"/>
      <c r="H2" s="61" t="str">
        <f>'Cover Sheet'!D2</f>
        <v>CDC</v>
      </c>
      <c r="I2" s="548">
        <f>'Cover Sheet'!E2</f>
        <v>46097</v>
      </c>
      <c r="J2" s="549"/>
    </row>
    <row r="3" spans="1:20" ht="7.5" customHeight="1" x14ac:dyDescent="0.3">
      <c r="A3" s="54"/>
      <c r="B3" s="39"/>
      <c r="C3" s="39"/>
      <c r="D3" s="39"/>
      <c r="E3" s="39"/>
      <c r="F3" s="39"/>
      <c r="G3" s="40"/>
      <c r="H3" s="40"/>
      <c r="I3" s="40"/>
      <c r="J3" s="55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53" customFormat="1" ht="28.65" customHeight="1" x14ac:dyDescent="0.3">
      <c r="A4" s="154"/>
      <c r="B4" s="715" t="s">
        <v>19</v>
      </c>
      <c r="C4" s="715"/>
      <c r="D4" s="715"/>
      <c r="E4" s="715"/>
      <c r="F4" s="715"/>
      <c r="G4" s="715"/>
      <c r="H4" s="237"/>
      <c r="I4" s="237"/>
      <c r="J4" s="238"/>
      <c r="K4" s="167"/>
      <c r="L4" s="167"/>
      <c r="M4" s="167"/>
      <c r="N4" s="167"/>
      <c r="O4" s="167"/>
      <c r="P4" s="167"/>
      <c r="Q4" s="167"/>
      <c r="R4" s="167"/>
      <c r="S4" s="167"/>
      <c r="T4" s="167"/>
    </row>
    <row r="5" spans="1:20" s="153" customFormat="1" ht="27.15" customHeight="1" x14ac:dyDescent="0.3">
      <c r="A5" s="154"/>
      <c r="B5" s="83" t="s">
        <v>12</v>
      </c>
      <c r="C5" s="716" t="s">
        <v>47</v>
      </c>
      <c r="D5" s="717"/>
      <c r="E5" s="716" t="s">
        <v>4</v>
      </c>
      <c r="F5" s="718"/>
      <c r="G5" s="83" t="s">
        <v>177</v>
      </c>
      <c r="H5" s="237"/>
      <c r="I5" s="237"/>
      <c r="J5" s="238"/>
      <c r="K5" s="167"/>
      <c r="L5" s="167"/>
      <c r="M5" s="167"/>
      <c r="N5" s="167"/>
      <c r="O5" s="167"/>
      <c r="P5" s="167"/>
      <c r="Q5" s="167"/>
      <c r="R5" s="167"/>
      <c r="S5" s="167"/>
      <c r="T5" s="167"/>
    </row>
    <row r="6" spans="1:20" s="153" customFormat="1" ht="28.65" customHeight="1" x14ac:dyDescent="0.3">
      <c r="A6" s="239"/>
      <c r="B6" s="83" t="s">
        <v>48</v>
      </c>
      <c r="C6" s="719">
        <v>0.94</v>
      </c>
      <c r="D6" s="720"/>
      <c r="E6" s="721" t="s">
        <v>227</v>
      </c>
      <c r="F6" s="722"/>
      <c r="G6" s="240"/>
      <c r="H6" s="237"/>
      <c r="I6" s="7"/>
      <c r="J6" s="241"/>
    </row>
    <row r="7" spans="1:20" s="153" customFormat="1" ht="28.65" customHeight="1" thickBot="1" x14ac:dyDescent="0.35">
      <c r="A7" s="242"/>
      <c r="B7" s="83" t="s">
        <v>49</v>
      </c>
      <c r="C7" s="719">
        <v>0.04</v>
      </c>
      <c r="D7" s="720"/>
      <c r="E7" s="721" t="s">
        <v>228</v>
      </c>
      <c r="F7" s="722"/>
      <c r="G7" s="240"/>
      <c r="H7" s="723" t="s">
        <v>127</v>
      </c>
      <c r="I7" s="724"/>
      <c r="J7" s="243"/>
    </row>
    <row r="8" spans="1:20" s="153" customFormat="1" ht="28.65" customHeight="1" thickBot="1" x14ac:dyDescent="0.35">
      <c r="A8" s="242"/>
      <c r="B8" s="83" t="s">
        <v>50</v>
      </c>
      <c r="C8" s="719">
        <v>0.02</v>
      </c>
      <c r="D8" s="720"/>
      <c r="E8" s="721" t="s">
        <v>229</v>
      </c>
      <c r="F8" s="722"/>
      <c r="G8" s="244"/>
      <c r="H8" s="725"/>
      <c r="I8" s="726"/>
      <c r="J8" s="243"/>
    </row>
    <row r="9" spans="1:20" ht="25.35" customHeight="1" x14ac:dyDescent="0.3">
      <c r="A9" s="84"/>
      <c r="B9" s="85"/>
      <c r="C9" s="86"/>
      <c r="D9" s="109"/>
      <c r="E9" s="109"/>
      <c r="F9" s="109"/>
      <c r="G9" s="87"/>
      <c r="H9" s="109"/>
      <c r="I9" s="109"/>
      <c r="J9" s="41"/>
    </row>
    <row r="10" spans="1:20" s="91" customFormat="1" ht="32.25" customHeight="1" x14ac:dyDescent="0.3">
      <c r="A10" s="88"/>
      <c r="B10" s="89" t="s">
        <v>51</v>
      </c>
      <c r="C10" s="727" t="s">
        <v>52</v>
      </c>
      <c r="D10" s="728"/>
      <c r="E10" s="727" t="s">
        <v>53</v>
      </c>
      <c r="F10" s="728"/>
      <c r="G10" s="89" t="s">
        <v>54</v>
      </c>
      <c r="H10" s="89" t="s">
        <v>10</v>
      </c>
      <c r="I10" s="112" t="s">
        <v>3</v>
      </c>
      <c r="J10" s="90"/>
    </row>
    <row r="11" spans="1:20" s="138" customFormat="1" ht="30.15" customHeight="1" thickBot="1" x14ac:dyDescent="0.35">
      <c r="A11" s="245"/>
      <c r="B11" s="71" t="s">
        <v>55</v>
      </c>
      <c r="C11" s="729"/>
      <c r="D11" s="730"/>
      <c r="E11" s="729"/>
      <c r="F11" s="730"/>
      <c r="G11" s="246"/>
      <c r="H11" s="247"/>
      <c r="I11" s="248"/>
      <c r="J11" s="249"/>
    </row>
    <row r="12" spans="1:20" s="138" customFormat="1" ht="30.15" customHeight="1" thickBot="1" x14ac:dyDescent="0.35">
      <c r="A12" s="245"/>
      <c r="B12" s="70" t="s">
        <v>56</v>
      </c>
      <c r="C12" s="729"/>
      <c r="D12" s="730"/>
      <c r="E12" s="729"/>
      <c r="F12" s="730"/>
      <c r="G12" s="250"/>
      <c r="H12" s="251"/>
      <c r="I12" s="252"/>
      <c r="J12" s="249"/>
    </row>
    <row r="13" spans="1:20" s="138" customFormat="1" ht="30.15" customHeight="1" thickBot="1" x14ac:dyDescent="0.35">
      <c r="A13" s="245"/>
      <c r="B13" s="70" t="s">
        <v>57</v>
      </c>
      <c r="C13" s="729"/>
      <c r="D13" s="730"/>
      <c r="E13" s="729"/>
      <c r="F13" s="730"/>
      <c r="G13" s="250"/>
      <c r="H13" s="251"/>
      <c r="I13" s="252"/>
      <c r="J13" s="249"/>
    </row>
    <row r="14" spans="1:20" s="138" customFormat="1" ht="30.15" customHeight="1" thickBot="1" x14ac:dyDescent="0.35">
      <c r="A14" s="245"/>
      <c r="B14" s="70" t="s">
        <v>58</v>
      </c>
      <c r="C14" s="729"/>
      <c r="D14" s="730"/>
      <c r="E14" s="729"/>
      <c r="F14" s="730"/>
      <c r="G14" s="250"/>
      <c r="H14" s="251"/>
      <c r="I14" s="252"/>
      <c r="J14" s="249"/>
    </row>
    <row r="15" spans="1:20" s="138" customFormat="1" ht="30.15" customHeight="1" thickBot="1" x14ac:dyDescent="0.35">
      <c r="A15" s="245"/>
      <c r="B15" s="70" t="s">
        <v>59</v>
      </c>
      <c r="C15" s="729"/>
      <c r="D15" s="730"/>
      <c r="E15" s="729"/>
      <c r="F15" s="730"/>
      <c r="G15" s="250"/>
      <c r="H15" s="251"/>
      <c r="I15" s="252"/>
      <c r="J15" s="249"/>
    </row>
    <row r="16" spans="1:20" s="138" customFormat="1" ht="30.15" customHeight="1" thickBot="1" x14ac:dyDescent="0.35">
      <c r="A16" s="245"/>
      <c r="B16" s="70" t="s">
        <v>60</v>
      </c>
      <c r="C16" s="729"/>
      <c r="D16" s="730"/>
      <c r="E16" s="729"/>
      <c r="F16" s="730"/>
      <c r="G16" s="250"/>
      <c r="H16" s="251"/>
      <c r="I16" s="252"/>
      <c r="J16" s="249"/>
    </row>
    <row r="17" spans="1:10" s="138" customFormat="1" ht="30.15" customHeight="1" thickBot="1" x14ac:dyDescent="0.35">
      <c r="A17" s="245"/>
      <c r="B17" s="70" t="s">
        <v>61</v>
      </c>
      <c r="C17" s="729"/>
      <c r="D17" s="730"/>
      <c r="E17" s="729"/>
      <c r="F17" s="730"/>
      <c r="G17" s="250"/>
      <c r="H17" s="251"/>
      <c r="I17" s="252"/>
      <c r="J17" s="249"/>
    </row>
    <row r="18" spans="1:10" s="138" customFormat="1" ht="30.15" customHeight="1" thickBot="1" x14ac:dyDescent="0.35">
      <c r="A18" s="245"/>
      <c r="B18" s="70" t="s">
        <v>62</v>
      </c>
      <c r="C18" s="729"/>
      <c r="D18" s="730"/>
      <c r="E18" s="729"/>
      <c r="F18" s="730"/>
      <c r="G18" s="250"/>
      <c r="H18" s="251"/>
      <c r="I18" s="252"/>
      <c r="J18" s="249"/>
    </row>
    <row r="19" spans="1:10" s="138" customFormat="1" ht="30.15" customHeight="1" thickBot="1" x14ac:dyDescent="0.35">
      <c r="A19" s="245"/>
      <c r="B19" s="70" t="s">
        <v>63</v>
      </c>
      <c r="C19" s="731"/>
      <c r="D19" s="732"/>
      <c r="E19" s="731"/>
      <c r="F19" s="732"/>
      <c r="G19" s="250"/>
      <c r="H19" s="251"/>
      <c r="I19" s="252"/>
      <c r="J19" s="249"/>
    </row>
    <row r="20" spans="1:10" s="138" customFormat="1" ht="30.15" customHeight="1" thickBot="1" x14ac:dyDescent="0.35">
      <c r="A20" s="253"/>
      <c r="B20" s="92" t="s">
        <v>64</v>
      </c>
      <c r="C20" s="731"/>
      <c r="D20" s="732"/>
      <c r="E20" s="731"/>
      <c r="F20" s="732"/>
      <c r="G20" s="250"/>
      <c r="H20" s="251"/>
      <c r="I20" s="252"/>
      <c r="J20" s="249"/>
    </row>
    <row r="21" spans="1:10" s="138" customFormat="1" ht="2.4" customHeight="1" x14ac:dyDescent="0.3">
      <c r="A21" s="253"/>
      <c r="B21" s="70"/>
      <c r="C21" s="93"/>
      <c r="D21" s="111"/>
      <c r="E21" s="111"/>
      <c r="F21" s="156"/>
      <c r="G21" s="111"/>
      <c r="H21" s="156"/>
      <c r="I21" s="254"/>
      <c r="J21" s="249"/>
    </row>
    <row r="22" spans="1:10" s="138" customFormat="1" ht="16.5" customHeight="1" x14ac:dyDescent="0.3">
      <c r="A22" s="253"/>
      <c r="B22" s="7"/>
      <c r="C22" s="7"/>
      <c r="D22" s="7"/>
      <c r="E22" s="94"/>
      <c r="F22" s="7"/>
      <c r="G22" s="7"/>
      <c r="H22" s="7"/>
      <c r="I22" s="7"/>
      <c r="J22" s="249"/>
    </row>
    <row r="23" spans="1:10" s="138" customFormat="1" ht="26.1" customHeight="1" x14ac:dyDescent="0.3">
      <c r="A23" s="253"/>
      <c r="B23" s="95" t="s">
        <v>11</v>
      </c>
      <c r="C23" s="7"/>
      <c r="D23" s="7"/>
      <c r="E23" s="7"/>
      <c r="F23" s="7"/>
      <c r="G23" s="7"/>
      <c r="H23" s="7"/>
      <c r="I23" s="7"/>
      <c r="J23" s="249"/>
    </row>
    <row r="24" spans="1:10" s="1" customFormat="1" ht="23.85" customHeight="1" x14ac:dyDescent="0.3">
      <c r="A24" s="38"/>
      <c r="B24" s="736"/>
      <c r="C24" s="737"/>
      <c r="D24" s="737"/>
      <c r="E24" s="737"/>
      <c r="F24" s="737"/>
      <c r="G24" s="737"/>
      <c r="H24" s="737"/>
      <c r="I24" s="738"/>
      <c r="J24" s="41"/>
    </row>
    <row r="25" spans="1:10" s="1" customFormat="1" ht="23.85" customHeight="1" x14ac:dyDescent="0.3">
      <c r="A25" s="38"/>
      <c r="B25" s="739"/>
      <c r="C25" s="740"/>
      <c r="D25" s="740"/>
      <c r="E25" s="740"/>
      <c r="F25" s="740"/>
      <c r="G25" s="740"/>
      <c r="H25" s="740"/>
      <c r="I25" s="741"/>
      <c r="J25" s="41"/>
    </row>
    <row r="26" spans="1:10" s="138" customFormat="1" ht="23.85" customHeight="1" x14ac:dyDescent="0.3">
      <c r="A26" s="253"/>
      <c r="B26" s="739"/>
      <c r="C26" s="740"/>
      <c r="D26" s="740"/>
      <c r="E26" s="740"/>
      <c r="F26" s="740"/>
      <c r="G26" s="740"/>
      <c r="H26" s="740"/>
      <c r="I26" s="741"/>
      <c r="J26" s="249"/>
    </row>
    <row r="27" spans="1:10" s="138" customFormat="1" ht="23.85" customHeight="1" x14ac:dyDescent="0.3">
      <c r="A27" s="253"/>
      <c r="B27" s="739"/>
      <c r="C27" s="740"/>
      <c r="D27" s="740"/>
      <c r="E27" s="740"/>
      <c r="F27" s="740"/>
      <c r="G27" s="740"/>
      <c r="H27" s="740"/>
      <c r="I27" s="741"/>
      <c r="J27" s="249"/>
    </row>
    <row r="28" spans="1:10" s="138" customFormat="1" ht="23.85" customHeight="1" x14ac:dyDescent="0.3">
      <c r="A28" s="253"/>
      <c r="B28" s="733"/>
      <c r="C28" s="734"/>
      <c r="D28" s="734"/>
      <c r="E28" s="734"/>
      <c r="F28" s="734"/>
      <c r="G28" s="734"/>
      <c r="H28" s="734"/>
      <c r="I28" s="735"/>
      <c r="J28" s="249"/>
    </row>
    <row r="29" spans="1:10" s="1" customFormat="1" ht="11.25" customHeight="1" x14ac:dyDescent="0.3">
      <c r="A29" s="96"/>
      <c r="B29" s="97"/>
      <c r="C29" s="97"/>
      <c r="D29" s="97"/>
      <c r="E29" s="97"/>
      <c r="F29" s="97"/>
      <c r="G29" s="97"/>
      <c r="H29" s="97"/>
      <c r="I29" s="97"/>
      <c r="J29" s="98"/>
    </row>
  </sheetData>
  <mergeCells count="44">
    <mergeCell ref="B28:I28"/>
    <mergeCell ref="C20:D20"/>
    <mergeCell ref="E20:F20"/>
    <mergeCell ref="B24:I24"/>
    <mergeCell ref="B25:I25"/>
    <mergeCell ref="B26:I26"/>
    <mergeCell ref="B27:I27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H7:I7"/>
    <mergeCell ref="C8:D8"/>
    <mergeCell ref="E8:F8"/>
    <mergeCell ref="H8:I8"/>
    <mergeCell ref="C10:D10"/>
    <mergeCell ref="E10:F10"/>
    <mergeCell ref="C7:D7"/>
    <mergeCell ref="E7:F7"/>
    <mergeCell ref="B4:G4"/>
    <mergeCell ref="C5:D5"/>
    <mergeCell ref="E5:F5"/>
    <mergeCell ref="C6:D6"/>
    <mergeCell ref="E6:F6"/>
    <mergeCell ref="A1:D1"/>
    <mergeCell ref="E1:G1"/>
    <mergeCell ref="I1:J1"/>
    <mergeCell ref="A2:D2"/>
    <mergeCell ref="E2:G2"/>
    <mergeCell ref="I2:J2"/>
  </mergeCells>
  <pageMargins left="0.24" right="0.24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2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694B-9BB0-4626-85E5-85D09276BCB5}">
  <sheetPr>
    <pageSetUpPr fitToPage="1"/>
  </sheetPr>
  <dimension ref="A1:L53"/>
  <sheetViews>
    <sheetView view="pageLayout" topLeftCell="A18" zoomScaleNormal="130" zoomScaleSheetLayoutView="220" workbookViewId="0">
      <selection activeCell="I12" sqref="I12"/>
    </sheetView>
  </sheetViews>
  <sheetFormatPr defaultColWidth="2.44140625" defaultRowHeight="14.4" x14ac:dyDescent="0.3"/>
  <cols>
    <col min="1" max="1" width="0.6640625" style="31" customWidth="1"/>
    <col min="2" max="2" width="18.33203125" style="31" customWidth="1"/>
    <col min="3" max="3" width="9.6640625" style="31" customWidth="1"/>
    <col min="4" max="6" width="10.33203125" style="31" customWidth="1"/>
    <col min="7" max="7" width="1.109375" style="31" customWidth="1"/>
    <col min="8" max="8" width="1.33203125" style="31" customWidth="1"/>
    <col min="9" max="9" width="15.33203125" style="31" customWidth="1"/>
    <col min="10" max="10" width="10.5546875" style="31" customWidth="1"/>
    <col min="11" max="11" width="10.6640625" style="31" customWidth="1"/>
    <col min="12" max="12" width="5.109375" style="31" customWidth="1"/>
    <col min="13" max="16384" width="2.44140625" style="31"/>
  </cols>
  <sheetData>
    <row r="1" spans="1:12" ht="13.95" customHeight="1" x14ac:dyDescent="0.25">
      <c r="A1" s="463" t="s">
        <v>0</v>
      </c>
      <c r="B1" s="464"/>
      <c r="C1" s="464"/>
      <c r="D1" s="465"/>
      <c r="E1" s="466" t="s">
        <v>1</v>
      </c>
      <c r="F1" s="467"/>
      <c r="G1" s="467"/>
      <c r="H1" s="467"/>
      <c r="I1" s="468"/>
      <c r="J1" s="325" t="s">
        <v>2</v>
      </c>
      <c r="K1" s="463" t="s">
        <v>3</v>
      </c>
      <c r="L1" s="465"/>
    </row>
    <row r="2" spans="1:12" ht="13.95" customHeight="1" x14ac:dyDescent="0.3">
      <c r="A2" s="469" t="s">
        <v>65</v>
      </c>
      <c r="B2" s="470"/>
      <c r="C2" s="470"/>
      <c r="D2" s="471"/>
      <c r="E2" s="472" t="s">
        <v>140</v>
      </c>
      <c r="F2" s="472"/>
      <c r="G2" s="472"/>
      <c r="H2" s="472"/>
      <c r="I2" s="472"/>
      <c r="J2" s="211" t="str">
        <f>'Cover Sheet'!D2</f>
        <v>CDC</v>
      </c>
      <c r="K2" s="473">
        <f>'Cover Sheet'!E2</f>
        <v>46097</v>
      </c>
      <c r="L2" s="474" t="s">
        <v>15</v>
      </c>
    </row>
    <row r="3" spans="1:12" ht="4.5" customHeight="1" x14ac:dyDescent="0.3">
      <c r="A3" s="286"/>
      <c r="B3" s="287"/>
      <c r="C3" s="287"/>
      <c r="D3" s="287"/>
      <c r="E3" s="319"/>
      <c r="F3" s="319"/>
      <c r="G3" s="319"/>
      <c r="H3" s="319"/>
      <c r="I3" s="159"/>
      <c r="J3" s="159"/>
      <c r="K3" s="159"/>
      <c r="L3" s="288"/>
    </row>
    <row r="4" spans="1:12" ht="15.75" customHeight="1" x14ac:dyDescent="0.3">
      <c r="A4" s="286"/>
      <c r="B4" s="450" t="s">
        <v>19</v>
      </c>
      <c r="C4" s="451"/>
      <c r="D4" s="451"/>
      <c r="E4" s="451"/>
      <c r="F4" s="452"/>
      <c r="G4" s="289"/>
      <c r="H4" s="321"/>
      <c r="I4" s="453" t="s">
        <v>141</v>
      </c>
      <c r="J4" s="453"/>
      <c r="K4" s="453"/>
      <c r="L4" s="454"/>
    </row>
    <row r="5" spans="1:12" ht="15.75" customHeight="1" x14ac:dyDescent="0.3">
      <c r="A5" s="54"/>
      <c r="B5" s="292" t="s">
        <v>12</v>
      </c>
      <c r="C5" s="292" t="s">
        <v>47</v>
      </c>
      <c r="D5" s="292"/>
      <c r="E5" s="292" t="s">
        <v>4</v>
      </c>
      <c r="F5" s="118"/>
      <c r="G5" s="290"/>
      <c r="H5" s="109"/>
      <c r="I5" s="109"/>
      <c r="J5" s="109"/>
      <c r="K5" s="109"/>
      <c r="L5" s="291"/>
    </row>
    <row r="6" spans="1:12" s="313" customFormat="1" ht="15.6" customHeight="1" x14ac:dyDescent="0.3">
      <c r="A6" s="338"/>
      <c r="B6" s="292" t="s">
        <v>66</v>
      </c>
      <c r="C6" s="318">
        <f>Mixing!C6</f>
        <v>0.94</v>
      </c>
      <c r="D6" s="455" t="str">
        <f>Mixing!E6</f>
        <v>GPS288</v>
      </c>
      <c r="E6" s="456"/>
      <c r="F6" s="457"/>
      <c r="G6" s="293"/>
      <c r="H6" s="310"/>
      <c r="I6" s="458" t="s">
        <v>142</v>
      </c>
      <c r="J6" s="459"/>
      <c r="K6" s="460"/>
      <c r="L6" s="294"/>
    </row>
    <row r="7" spans="1:12" s="313" customFormat="1" ht="15" customHeight="1" x14ac:dyDescent="0.3">
      <c r="A7" s="338"/>
      <c r="B7" s="292" t="s">
        <v>143</v>
      </c>
      <c r="C7" s="318">
        <f>Mixing!C7</f>
        <v>0.04</v>
      </c>
      <c r="D7" s="455" t="str">
        <f>Mixing!E7</f>
        <v>GPS247-6</v>
      </c>
      <c r="E7" s="456"/>
      <c r="F7" s="457"/>
      <c r="G7" s="293"/>
      <c r="H7" s="295"/>
      <c r="I7" s="458"/>
      <c r="J7" s="461"/>
      <c r="K7" s="462"/>
      <c r="L7" s="334"/>
    </row>
    <row r="8" spans="1:12" s="313" customFormat="1" ht="14.4" customHeight="1" thickBot="1" x14ac:dyDescent="0.35">
      <c r="A8" s="309"/>
      <c r="B8" s="292" t="s">
        <v>144</v>
      </c>
      <c r="C8" s="318">
        <f>Mixing!C8</f>
        <v>0.02</v>
      </c>
      <c r="D8" s="455" t="str">
        <f>Mixing!E8</f>
        <v>GPS247-9</v>
      </c>
      <c r="E8" s="456"/>
      <c r="F8" s="457"/>
      <c r="G8" s="293"/>
      <c r="H8" s="160"/>
      <c r="I8" s="458"/>
      <c r="J8" s="337"/>
      <c r="K8" s="336"/>
      <c r="L8" s="334"/>
    </row>
    <row r="9" spans="1:12" s="313" customFormat="1" ht="15.6" customHeight="1" x14ac:dyDescent="0.3">
      <c r="A9" s="309"/>
      <c r="B9" s="292" t="s">
        <v>45</v>
      </c>
      <c r="C9" s="335" t="s">
        <v>13</v>
      </c>
      <c r="D9" s="441" t="s">
        <v>186</v>
      </c>
      <c r="E9" s="442"/>
      <c r="F9" s="443"/>
      <c r="G9" s="296"/>
      <c r="H9" s="310"/>
      <c r="I9" s="310"/>
      <c r="J9" s="310"/>
      <c r="K9" s="310"/>
      <c r="L9" s="334"/>
    </row>
    <row r="10" spans="1:12" s="313" customFormat="1" ht="2.25" customHeight="1" x14ac:dyDescent="0.3">
      <c r="A10" s="309"/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33"/>
    </row>
    <row r="11" spans="1:12" s="102" customFormat="1" ht="17.25" customHeight="1" x14ac:dyDescent="0.3">
      <c r="A11" s="99"/>
      <c r="B11" s="100"/>
      <c r="C11" s="100"/>
      <c r="D11" s="114" t="s">
        <v>6</v>
      </c>
      <c r="E11" s="114" t="s">
        <v>7</v>
      </c>
      <c r="F11" s="114" t="s">
        <v>8</v>
      </c>
      <c r="G11" s="114"/>
      <c r="H11" s="46"/>
      <c r="I11" s="114" t="s">
        <v>9</v>
      </c>
      <c r="J11" s="114" t="s">
        <v>10</v>
      </c>
      <c r="K11" s="114" t="s">
        <v>3</v>
      </c>
      <c r="L11" s="101"/>
    </row>
    <row r="12" spans="1:12" s="102" customFormat="1" ht="15" customHeight="1" thickBot="1" x14ac:dyDescent="0.35">
      <c r="A12" s="297"/>
      <c r="B12" s="413" t="s">
        <v>145</v>
      </c>
      <c r="C12" s="414"/>
      <c r="D12" s="320">
        <f>Braiding!D29</f>
        <v>0.10199999999999999</v>
      </c>
      <c r="E12" s="340">
        <f>Braiding!E29</f>
        <v>0.104</v>
      </c>
      <c r="F12" s="340">
        <f>Braiding!F29</f>
        <v>0.106</v>
      </c>
      <c r="G12" s="48"/>
      <c r="H12" s="46"/>
      <c r="I12" s="331"/>
      <c r="J12" s="416"/>
      <c r="K12" s="419"/>
      <c r="L12" s="101"/>
    </row>
    <row r="13" spans="1:12" s="102" customFormat="1" ht="17.25" customHeight="1" thickBot="1" x14ac:dyDescent="0.35">
      <c r="A13" s="297"/>
      <c r="B13" s="413" t="s">
        <v>146</v>
      </c>
      <c r="C13" s="414"/>
      <c r="D13" s="74" t="s">
        <v>97</v>
      </c>
      <c r="E13" s="324"/>
      <c r="F13" s="74" t="s">
        <v>97</v>
      </c>
      <c r="G13" s="298"/>
      <c r="H13" s="46"/>
      <c r="I13" s="332"/>
      <c r="J13" s="417"/>
      <c r="K13" s="420"/>
      <c r="L13" s="101"/>
    </row>
    <row r="14" spans="1:12" s="102" customFormat="1" ht="14.4" customHeight="1" thickBot="1" x14ac:dyDescent="0.35">
      <c r="A14" s="297"/>
      <c r="B14" s="413" t="s">
        <v>185</v>
      </c>
      <c r="C14" s="414"/>
      <c r="D14" s="104" t="s">
        <v>97</v>
      </c>
      <c r="E14" s="82"/>
      <c r="F14" s="104" t="s">
        <v>97</v>
      </c>
      <c r="G14" s="299"/>
      <c r="H14" s="46"/>
      <c r="I14" s="331"/>
      <c r="J14" s="417"/>
      <c r="K14" s="420"/>
      <c r="L14" s="101"/>
    </row>
    <row r="15" spans="1:12" s="317" customFormat="1" ht="17.25" customHeight="1" thickBot="1" x14ac:dyDescent="0.35">
      <c r="A15" s="179"/>
      <c r="B15" s="413" t="s">
        <v>147</v>
      </c>
      <c r="C15" s="414"/>
      <c r="D15" s="320"/>
      <c r="E15" s="300"/>
      <c r="F15" s="324" t="s">
        <v>184</v>
      </c>
      <c r="G15" s="48"/>
      <c r="H15" s="330"/>
      <c r="I15" s="331"/>
      <c r="J15" s="417"/>
      <c r="K15" s="420"/>
      <c r="L15" s="315"/>
    </row>
    <row r="16" spans="1:12" s="317" customFormat="1" ht="16.2" customHeight="1" thickBot="1" x14ac:dyDescent="0.35">
      <c r="A16" s="179"/>
      <c r="B16" s="413" t="s">
        <v>67</v>
      </c>
      <c r="C16" s="414"/>
      <c r="D16" s="447">
        <v>0.47</v>
      </c>
      <c r="E16" s="448"/>
      <c r="F16" s="449"/>
      <c r="G16" s="301"/>
      <c r="H16" s="330"/>
      <c r="I16" s="331"/>
      <c r="J16" s="417"/>
      <c r="K16" s="420"/>
      <c r="L16" s="315"/>
    </row>
    <row r="17" spans="1:12" s="317" customFormat="1" ht="15.75" customHeight="1" thickBot="1" x14ac:dyDescent="0.35">
      <c r="A17" s="179"/>
      <c r="B17" s="413" t="s">
        <v>68</v>
      </c>
      <c r="C17" s="414"/>
      <c r="D17" s="447">
        <v>0.61</v>
      </c>
      <c r="E17" s="448"/>
      <c r="F17" s="449"/>
      <c r="G17" s="301"/>
      <c r="H17" s="330"/>
      <c r="I17" s="331"/>
      <c r="J17" s="417"/>
      <c r="K17" s="420"/>
      <c r="L17" s="315"/>
    </row>
    <row r="18" spans="1:12" s="317" customFormat="1" ht="15.75" customHeight="1" thickBot="1" x14ac:dyDescent="0.35">
      <c r="A18" s="179"/>
      <c r="B18" s="413" t="s">
        <v>148</v>
      </c>
      <c r="C18" s="414"/>
      <c r="D18" s="444" t="s">
        <v>250</v>
      </c>
      <c r="E18" s="445"/>
      <c r="F18" s="446"/>
      <c r="G18" s="48"/>
      <c r="H18" s="330"/>
      <c r="I18" s="331"/>
      <c r="J18" s="417"/>
      <c r="K18" s="420"/>
      <c r="L18" s="315"/>
    </row>
    <row r="19" spans="1:12" s="317" customFormat="1" ht="15.75" customHeight="1" thickBot="1" x14ac:dyDescent="0.35">
      <c r="A19" s="179"/>
      <c r="B19" s="413" t="s">
        <v>69</v>
      </c>
      <c r="C19" s="414"/>
      <c r="D19" s="444" t="s">
        <v>251</v>
      </c>
      <c r="E19" s="445"/>
      <c r="F19" s="446"/>
      <c r="G19" s="48"/>
      <c r="H19" s="330"/>
      <c r="I19" s="331"/>
      <c r="J19" s="417"/>
      <c r="K19" s="420"/>
      <c r="L19" s="315"/>
    </row>
    <row r="20" spans="1:12" s="317" customFormat="1" ht="15.75" customHeight="1" thickBot="1" x14ac:dyDescent="0.35">
      <c r="A20" s="179"/>
      <c r="B20" s="413" t="s">
        <v>70</v>
      </c>
      <c r="C20" s="414"/>
      <c r="D20" s="73" t="s">
        <v>97</v>
      </c>
      <c r="E20" s="74">
        <v>7</v>
      </c>
      <c r="F20" s="302" t="s">
        <v>97</v>
      </c>
      <c r="G20" s="303"/>
      <c r="H20" s="330"/>
      <c r="I20" s="331"/>
      <c r="J20" s="417"/>
      <c r="K20" s="420"/>
      <c r="L20" s="315"/>
    </row>
    <row r="21" spans="1:12" s="317" customFormat="1" ht="15.75" customHeight="1" thickBot="1" x14ac:dyDescent="0.35">
      <c r="A21" s="179"/>
      <c r="B21" s="413" t="s">
        <v>149</v>
      </c>
      <c r="C21" s="414"/>
      <c r="D21" s="104" t="s">
        <v>97</v>
      </c>
      <c r="E21" s="300">
        <v>590</v>
      </c>
      <c r="F21" s="104" t="s">
        <v>97</v>
      </c>
      <c r="G21" s="299"/>
      <c r="H21" s="330"/>
      <c r="I21" s="331"/>
      <c r="J21" s="417"/>
      <c r="K21" s="420"/>
      <c r="L21" s="315"/>
    </row>
    <row r="22" spans="1:12" s="317" customFormat="1" ht="15.75" customHeight="1" thickBot="1" x14ac:dyDescent="0.35">
      <c r="A22" s="179"/>
      <c r="B22" s="413" t="s">
        <v>150</v>
      </c>
      <c r="C22" s="414"/>
      <c r="D22" s="104" t="s">
        <v>97</v>
      </c>
      <c r="E22" s="300">
        <v>610</v>
      </c>
      <c r="F22" s="104" t="s">
        <v>97</v>
      </c>
      <c r="G22" s="299"/>
      <c r="H22" s="330"/>
      <c r="I22" s="331"/>
      <c r="J22" s="417"/>
      <c r="K22" s="420"/>
      <c r="L22" s="315"/>
    </row>
    <row r="23" spans="1:12" s="317" customFormat="1" ht="15.75" customHeight="1" thickBot="1" x14ac:dyDescent="0.35">
      <c r="A23" s="179"/>
      <c r="B23" s="413" t="s">
        <v>151</v>
      </c>
      <c r="C23" s="414"/>
      <c r="D23" s="104" t="s">
        <v>97</v>
      </c>
      <c r="E23" s="300">
        <v>620</v>
      </c>
      <c r="F23" s="104" t="s">
        <v>97</v>
      </c>
      <c r="G23" s="299"/>
      <c r="H23" s="330"/>
      <c r="I23" s="331"/>
      <c r="J23" s="417"/>
      <c r="K23" s="420"/>
      <c r="L23" s="315"/>
    </row>
    <row r="24" spans="1:12" s="317" customFormat="1" ht="15.75" customHeight="1" thickBot="1" x14ac:dyDescent="0.35">
      <c r="A24" s="179"/>
      <c r="B24" s="413" t="s">
        <v>152</v>
      </c>
      <c r="C24" s="414"/>
      <c r="D24" s="104" t="s">
        <v>97</v>
      </c>
      <c r="E24" s="300">
        <v>650</v>
      </c>
      <c r="F24" s="104" t="s">
        <v>97</v>
      </c>
      <c r="G24" s="299"/>
      <c r="H24" s="330"/>
      <c r="I24" s="331"/>
      <c r="J24" s="417"/>
      <c r="K24" s="420"/>
      <c r="L24" s="315"/>
    </row>
    <row r="25" spans="1:12" s="317" customFormat="1" ht="15.75" customHeight="1" thickBot="1" x14ac:dyDescent="0.35">
      <c r="A25" s="179"/>
      <c r="B25" s="413" t="s">
        <v>153</v>
      </c>
      <c r="C25" s="414"/>
      <c r="D25" s="104" t="s">
        <v>97</v>
      </c>
      <c r="E25" s="300">
        <v>670</v>
      </c>
      <c r="F25" s="104" t="s">
        <v>97</v>
      </c>
      <c r="G25" s="299"/>
      <c r="H25" s="330"/>
      <c r="I25" s="331"/>
      <c r="J25" s="417"/>
      <c r="K25" s="420"/>
      <c r="L25" s="315"/>
    </row>
    <row r="26" spans="1:12" s="317" customFormat="1" ht="15.75" customHeight="1" thickBot="1" x14ac:dyDescent="0.35">
      <c r="A26" s="179"/>
      <c r="B26" s="413" t="s">
        <v>154</v>
      </c>
      <c r="C26" s="414"/>
      <c r="D26" s="104" t="s">
        <v>97</v>
      </c>
      <c r="E26" s="300">
        <v>690</v>
      </c>
      <c r="F26" s="104" t="s">
        <v>97</v>
      </c>
      <c r="G26" s="299"/>
      <c r="H26" s="330"/>
      <c r="I26" s="331"/>
      <c r="J26" s="417"/>
      <c r="K26" s="420"/>
      <c r="L26" s="315"/>
    </row>
    <row r="27" spans="1:12" s="317" customFormat="1" ht="15.75" customHeight="1" thickBot="1" x14ac:dyDescent="0.35">
      <c r="A27" s="179"/>
      <c r="B27" s="436" t="s">
        <v>155</v>
      </c>
      <c r="C27" s="437"/>
      <c r="D27" s="104" t="s">
        <v>97</v>
      </c>
      <c r="E27" s="300">
        <v>700</v>
      </c>
      <c r="F27" s="104" t="s">
        <v>97</v>
      </c>
      <c r="G27" s="299"/>
      <c r="H27" s="330"/>
      <c r="I27" s="331"/>
      <c r="J27" s="417"/>
      <c r="K27" s="420"/>
      <c r="L27" s="315"/>
    </row>
    <row r="28" spans="1:12" s="317" customFormat="1" ht="15.75" customHeight="1" thickBot="1" x14ac:dyDescent="0.35">
      <c r="A28" s="179"/>
      <c r="B28" s="436" t="s">
        <v>156</v>
      </c>
      <c r="C28" s="437"/>
      <c r="D28" s="104" t="s">
        <v>97</v>
      </c>
      <c r="E28" s="300">
        <v>710</v>
      </c>
      <c r="F28" s="104" t="s">
        <v>97</v>
      </c>
      <c r="G28" s="299"/>
      <c r="H28" s="330"/>
      <c r="I28" s="331"/>
      <c r="J28" s="417"/>
      <c r="K28" s="420"/>
      <c r="L28" s="315"/>
    </row>
    <row r="29" spans="1:12" s="317" customFormat="1" ht="15.75" customHeight="1" thickBot="1" x14ac:dyDescent="0.35">
      <c r="A29" s="179"/>
      <c r="B29" s="436" t="s">
        <v>157</v>
      </c>
      <c r="C29" s="437"/>
      <c r="D29" s="104" t="s">
        <v>97</v>
      </c>
      <c r="E29" s="300">
        <v>720</v>
      </c>
      <c r="F29" s="104" t="s">
        <v>97</v>
      </c>
      <c r="G29" s="299"/>
      <c r="H29" s="330"/>
      <c r="I29" s="331"/>
      <c r="J29" s="417"/>
      <c r="K29" s="420"/>
      <c r="L29" s="315"/>
    </row>
    <row r="30" spans="1:12" s="317" customFormat="1" ht="15.75" customHeight="1" thickBot="1" x14ac:dyDescent="0.35">
      <c r="A30" s="179"/>
      <c r="B30" s="436" t="s">
        <v>158</v>
      </c>
      <c r="C30" s="437"/>
      <c r="D30" s="104" t="s">
        <v>97</v>
      </c>
      <c r="E30" s="300" t="s">
        <v>97</v>
      </c>
      <c r="F30" s="104" t="s">
        <v>97</v>
      </c>
      <c r="G30" s="299"/>
      <c r="H30" s="330"/>
      <c r="I30" s="331"/>
      <c r="J30" s="417"/>
      <c r="K30" s="420"/>
      <c r="L30" s="315"/>
    </row>
    <row r="31" spans="1:12" s="317" customFormat="1" ht="15.75" customHeight="1" thickBot="1" x14ac:dyDescent="0.35">
      <c r="A31" s="179"/>
      <c r="B31" s="436" t="s">
        <v>159</v>
      </c>
      <c r="C31" s="437"/>
      <c r="D31" s="104" t="s">
        <v>97</v>
      </c>
      <c r="E31" s="300" t="s">
        <v>97</v>
      </c>
      <c r="F31" s="104" t="s">
        <v>97</v>
      </c>
      <c r="G31" s="299"/>
      <c r="H31" s="330"/>
      <c r="I31" s="331"/>
      <c r="J31" s="417"/>
      <c r="K31" s="420"/>
      <c r="L31" s="315"/>
    </row>
    <row r="32" spans="1:12" s="317" customFormat="1" ht="17.25" customHeight="1" thickBot="1" x14ac:dyDescent="0.35">
      <c r="A32" s="438" t="s">
        <v>160</v>
      </c>
      <c r="B32" s="413"/>
      <c r="C32" s="414"/>
      <c r="D32" s="430" t="s">
        <v>252</v>
      </c>
      <c r="E32" s="431"/>
      <c r="F32" s="432"/>
      <c r="G32" s="304"/>
      <c r="H32" s="330"/>
      <c r="I32" s="331"/>
      <c r="J32" s="417"/>
      <c r="K32" s="420"/>
      <c r="L32" s="315"/>
    </row>
    <row r="33" spans="1:12" s="317" customFormat="1" ht="17.25" customHeight="1" thickBot="1" x14ac:dyDescent="0.35">
      <c r="A33" s="438" t="s">
        <v>161</v>
      </c>
      <c r="B33" s="413"/>
      <c r="C33" s="414"/>
      <c r="D33" s="430" t="s">
        <v>162</v>
      </c>
      <c r="E33" s="431"/>
      <c r="F33" s="432"/>
      <c r="G33" s="150"/>
      <c r="H33" s="330"/>
      <c r="I33" s="331"/>
      <c r="J33" s="417"/>
      <c r="K33" s="420"/>
      <c r="L33" s="315"/>
    </row>
    <row r="34" spans="1:12" s="317" customFormat="1" ht="17.25" customHeight="1" thickBot="1" x14ac:dyDescent="0.35">
      <c r="A34" s="179"/>
      <c r="B34" s="439" t="s">
        <v>163</v>
      </c>
      <c r="C34" s="440"/>
      <c r="D34" s="74" t="s">
        <v>97</v>
      </c>
      <c r="E34" s="75">
        <v>25</v>
      </c>
      <c r="F34" s="75" t="s">
        <v>97</v>
      </c>
      <c r="G34" s="298"/>
      <c r="H34" s="330"/>
      <c r="I34" s="331"/>
      <c r="J34" s="417"/>
      <c r="K34" s="420"/>
      <c r="L34" s="315"/>
    </row>
    <row r="35" spans="1:12" s="317" customFormat="1" ht="17.25" customHeight="1" thickBot="1" x14ac:dyDescent="0.35">
      <c r="A35" s="179"/>
      <c r="B35" s="413" t="s">
        <v>183</v>
      </c>
      <c r="C35" s="414"/>
      <c r="D35" s="74" t="s">
        <v>97</v>
      </c>
      <c r="E35" s="75" t="s">
        <v>97</v>
      </c>
      <c r="F35" s="74" t="s">
        <v>97</v>
      </c>
      <c r="G35" s="298"/>
      <c r="H35" s="330"/>
      <c r="I35" s="331"/>
      <c r="J35" s="417"/>
      <c r="K35" s="420"/>
      <c r="L35" s="315"/>
    </row>
    <row r="36" spans="1:12" s="317" customFormat="1" ht="17.25" customHeight="1" thickBot="1" x14ac:dyDescent="0.35">
      <c r="A36" s="179"/>
      <c r="B36" s="413" t="s">
        <v>164</v>
      </c>
      <c r="C36" s="414"/>
      <c r="D36" s="74" t="s">
        <v>97</v>
      </c>
      <c r="E36" s="75">
        <v>20</v>
      </c>
      <c r="F36" s="74" t="s">
        <v>97</v>
      </c>
      <c r="G36" s="298"/>
      <c r="H36" s="330"/>
      <c r="I36" s="331"/>
      <c r="J36" s="417"/>
      <c r="K36" s="420"/>
      <c r="L36" s="315"/>
    </row>
    <row r="37" spans="1:12" s="317" customFormat="1" ht="17.25" customHeight="1" thickBot="1" x14ac:dyDescent="0.35">
      <c r="A37" s="179"/>
      <c r="B37" s="413" t="s">
        <v>165</v>
      </c>
      <c r="C37" s="414"/>
      <c r="D37" s="73" t="s">
        <v>97</v>
      </c>
      <c r="E37" s="82">
        <v>39</v>
      </c>
      <c r="F37" s="73" t="s">
        <v>97</v>
      </c>
      <c r="G37" s="48"/>
      <c r="H37" s="330"/>
      <c r="I37" s="331"/>
      <c r="J37" s="417"/>
      <c r="K37" s="420"/>
      <c r="L37" s="315"/>
    </row>
    <row r="38" spans="1:12" s="317" customFormat="1" ht="17.25" customHeight="1" thickBot="1" x14ac:dyDescent="0.35">
      <c r="A38" s="179"/>
      <c r="B38" s="413" t="s">
        <v>166</v>
      </c>
      <c r="C38" s="414"/>
      <c r="D38" s="433">
        <v>2</v>
      </c>
      <c r="E38" s="434"/>
      <c r="F38" s="435"/>
      <c r="G38" s="298"/>
      <c r="H38" s="330"/>
      <c r="I38" s="331"/>
      <c r="J38" s="417"/>
      <c r="K38" s="420"/>
      <c r="L38" s="315"/>
    </row>
    <row r="39" spans="1:12" s="317" customFormat="1" ht="15" customHeight="1" thickBot="1" x14ac:dyDescent="0.35">
      <c r="A39" s="179"/>
      <c r="B39" s="413" t="s">
        <v>167</v>
      </c>
      <c r="C39" s="414"/>
      <c r="D39" s="305" t="s">
        <v>97</v>
      </c>
      <c r="E39" s="305" t="s">
        <v>97</v>
      </c>
      <c r="F39" s="305" t="s">
        <v>97</v>
      </c>
      <c r="G39" s="301"/>
      <c r="H39" s="328"/>
      <c r="I39" s="331"/>
      <c r="J39" s="417"/>
      <c r="K39" s="420"/>
      <c r="L39" s="315"/>
    </row>
    <row r="40" spans="1:12" s="317" customFormat="1" ht="15" customHeight="1" thickBot="1" x14ac:dyDescent="0.35">
      <c r="A40" s="179"/>
      <c r="B40" s="413" t="s">
        <v>168</v>
      </c>
      <c r="C40" s="414"/>
      <c r="D40" s="305">
        <v>0.127</v>
      </c>
      <c r="E40" s="305">
        <v>0.13100000000000001</v>
      </c>
      <c r="F40" s="305">
        <v>0.13500000000000001</v>
      </c>
      <c r="G40" s="301"/>
      <c r="H40" s="328"/>
      <c r="I40" s="331"/>
      <c r="J40" s="417"/>
      <c r="K40" s="420"/>
      <c r="L40" s="315"/>
    </row>
    <row r="41" spans="1:12" s="317" customFormat="1" ht="15" customHeight="1" thickBot="1" x14ac:dyDescent="0.35">
      <c r="A41" s="179"/>
      <c r="B41" s="413" t="s">
        <v>169</v>
      </c>
      <c r="C41" s="414"/>
      <c r="D41" s="422">
        <v>0.85</v>
      </c>
      <c r="E41" s="423"/>
      <c r="F41" s="424"/>
      <c r="G41" s="301"/>
      <c r="H41" s="328"/>
      <c r="I41" s="331"/>
      <c r="J41" s="417"/>
      <c r="K41" s="420"/>
      <c r="L41" s="315"/>
    </row>
    <row r="42" spans="1:12" s="317" customFormat="1" ht="15.6" customHeight="1" thickBot="1" x14ac:dyDescent="0.35">
      <c r="A42" s="179"/>
      <c r="B42" s="425" t="s">
        <v>182</v>
      </c>
      <c r="C42" s="427"/>
      <c r="D42" s="428">
        <v>20.7</v>
      </c>
      <c r="E42" s="428"/>
      <c r="F42" s="428"/>
      <c r="G42" s="48"/>
      <c r="H42" s="330"/>
      <c r="I42" s="331"/>
      <c r="J42" s="417"/>
      <c r="K42" s="420"/>
      <c r="L42" s="315"/>
    </row>
    <row r="43" spans="1:12" s="317" customFormat="1" ht="6" customHeight="1" x14ac:dyDescent="0.3">
      <c r="A43" s="179"/>
      <c r="B43" s="322"/>
      <c r="C43" s="322"/>
      <c r="D43" s="330"/>
      <c r="E43" s="330"/>
      <c r="F43" s="330"/>
      <c r="G43" s="48"/>
      <c r="H43" s="330"/>
      <c r="I43" s="329"/>
      <c r="J43" s="417"/>
      <c r="K43" s="420"/>
      <c r="L43" s="315"/>
    </row>
    <row r="44" spans="1:12" s="317" customFormat="1" ht="15.6" customHeight="1" x14ac:dyDescent="0.3">
      <c r="A44" s="179"/>
      <c r="B44" s="322"/>
      <c r="C44" s="322"/>
      <c r="D44" s="429" t="s">
        <v>170</v>
      </c>
      <c r="E44" s="429"/>
      <c r="F44" s="429"/>
      <c r="G44" s="429"/>
      <c r="H44" s="429"/>
      <c r="I44" s="429"/>
      <c r="J44" s="417"/>
      <c r="K44" s="420"/>
      <c r="L44" s="315"/>
    </row>
    <row r="45" spans="1:12" s="317" customFormat="1" ht="15.6" customHeight="1" x14ac:dyDescent="0.3">
      <c r="A45" s="179"/>
      <c r="B45" s="322"/>
      <c r="C45" s="323"/>
      <c r="D45" s="429" t="s">
        <v>181</v>
      </c>
      <c r="E45" s="429"/>
      <c r="F45" s="429" t="s">
        <v>180</v>
      </c>
      <c r="G45" s="429"/>
      <c r="H45" s="429"/>
      <c r="I45" s="429"/>
      <c r="J45" s="417"/>
      <c r="K45" s="420"/>
      <c r="L45" s="315"/>
    </row>
    <row r="46" spans="1:12" s="317" customFormat="1" ht="15.6" customHeight="1" x14ac:dyDescent="0.3">
      <c r="A46" s="179"/>
      <c r="B46" s="413" t="s">
        <v>179</v>
      </c>
      <c r="C46" s="414"/>
      <c r="D46" s="415" t="s">
        <v>97</v>
      </c>
      <c r="E46" s="415"/>
      <c r="F46" s="415" t="s">
        <v>97</v>
      </c>
      <c r="G46" s="415"/>
      <c r="H46" s="415"/>
      <c r="I46" s="415"/>
      <c r="J46" s="417"/>
      <c r="K46" s="420"/>
      <c r="L46" s="315"/>
    </row>
    <row r="47" spans="1:12" s="317" customFormat="1" ht="15.6" customHeight="1" x14ac:dyDescent="0.3">
      <c r="A47" s="179"/>
      <c r="B47" s="413" t="s">
        <v>171</v>
      </c>
      <c r="C47" s="414"/>
      <c r="D47" s="415" t="s">
        <v>97</v>
      </c>
      <c r="E47" s="415"/>
      <c r="F47" s="415" t="s">
        <v>97</v>
      </c>
      <c r="G47" s="415"/>
      <c r="H47" s="415"/>
      <c r="I47" s="415"/>
      <c r="J47" s="417"/>
      <c r="K47" s="420"/>
      <c r="L47" s="315"/>
    </row>
    <row r="48" spans="1:12" s="317" customFormat="1" ht="15.6" customHeight="1" x14ac:dyDescent="0.3">
      <c r="A48" s="179"/>
      <c r="B48" s="413" t="s">
        <v>172</v>
      </c>
      <c r="C48" s="414"/>
      <c r="D48" s="415" t="s">
        <v>97</v>
      </c>
      <c r="E48" s="415"/>
      <c r="F48" s="415" t="s">
        <v>97</v>
      </c>
      <c r="G48" s="415"/>
      <c r="H48" s="415"/>
      <c r="I48" s="415"/>
      <c r="J48" s="418"/>
      <c r="K48" s="421"/>
      <c r="L48" s="315"/>
    </row>
    <row r="49" spans="1:12" s="317" customFormat="1" ht="1.5" customHeight="1" x14ac:dyDescent="0.3">
      <c r="A49" s="314"/>
      <c r="B49" s="425"/>
      <c r="C49" s="425"/>
      <c r="D49" s="426"/>
      <c r="E49" s="426"/>
      <c r="F49" s="426"/>
      <c r="G49" s="306"/>
      <c r="H49" s="328"/>
      <c r="I49" s="7"/>
      <c r="J49" s="7"/>
      <c r="K49" s="7"/>
      <c r="L49" s="315"/>
    </row>
    <row r="50" spans="1:12" s="317" customFormat="1" ht="12" customHeight="1" x14ac:dyDescent="0.3">
      <c r="A50" s="314"/>
      <c r="B50" s="410" t="s">
        <v>178</v>
      </c>
      <c r="C50" s="410"/>
      <c r="D50" s="410"/>
      <c r="E50" s="410"/>
      <c r="F50" s="410"/>
      <c r="G50" s="410"/>
      <c r="H50" s="410"/>
      <c r="I50" s="410"/>
      <c r="J50" s="410"/>
      <c r="K50" s="410"/>
      <c r="L50" s="315"/>
    </row>
    <row r="51" spans="1:12" s="1" customFormat="1" ht="27.75" customHeight="1" x14ac:dyDescent="0.3">
      <c r="A51" s="54"/>
      <c r="B51" s="411" t="s">
        <v>11</v>
      </c>
      <c r="C51" s="412"/>
      <c r="D51" s="412"/>
      <c r="E51" s="412"/>
      <c r="F51" s="412"/>
      <c r="G51" s="412"/>
      <c r="H51" s="412"/>
      <c r="I51" s="412"/>
      <c r="J51" s="412"/>
      <c r="K51" s="412"/>
      <c r="L51" s="55"/>
    </row>
    <row r="52" spans="1:12" s="1" customFormat="1" ht="14.25" customHeight="1" x14ac:dyDescent="0.3">
      <c r="A52" s="28"/>
      <c r="B52" s="29"/>
      <c r="C52" s="29"/>
      <c r="D52" s="29"/>
      <c r="E52" s="29"/>
      <c r="F52" s="29"/>
      <c r="G52" s="307"/>
      <c r="H52" s="29"/>
      <c r="I52" s="29"/>
      <c r="J52" s="29"/>
      <c r="K52" s="29"/>
      <c r="L52" s="30"/>
    </row>
    <row r="53" spans="1:12" ht="12.75" customHeight="1" x14ac:dyDescent="0.3"/>
  </sheetData>
  <mergeCells count="72">
    <mergeCell ref="A1:D1"/>
    <mergeCell ref="E1:I1"/>
    <mergeCell ref="K1:L1"/>
    <mergeCell ref="A2:D2"/>
    <mergeCell ref="E2:I2"/>
    <mergeCell ref="K2:L2"/>
    <mergeCell ref="B4:F4"/>
    <mergeCell ref="I4:L4"/>
    <mergeCell ref="D6:F6"/>
    <mergeCell ref="I6:I8"/>
    <mergeCell ref="J6:K7"/>
    <mergeCell ref="D7:F7"/>
    <mergeCell ref="D8:F8"/>
    <mergeCell ref="B26:C26"/>
    <mergeCell ref="D17:F17"/>
    <mergeCell ref="B20:C20"/>
    <mergeCell ref="B21:C21"/>
    <mergeCell ref="B22:C22"/>
    <mergeCell ref="B23:C23"/>
    <mergeCell ref="B24:C24"/>
    <mergeCell ref="B25:C25"/>
    <mergeCell ref="D19:F19"/>
    <mergeCell ref="B17:C17"/>
    <mergeCell ref="D9:F9"/>
    <mergeCell ref="B12:C12"/>
    <mergeCell ref="B18:C18"/>
    <mergeCell ref="D18:F18"/>
    <mergeCell ref="B19:C19"/>
    <mergeCell ref="B13:C13"/>
    <mergeCell ref="B14:C14"/>
    <mergeCell ref="B15:C15"/>
    <mergeCell ref="B16:C16"/>
    <mergeCell ref="D16:F16"/>
    <mergeCell ref="D32:F32"/>
    <mergeCell ref="D33:F33"/>
    <mergeCell ref="D38:F38"/>
    <mergeCell ref="B36:C36"/>
    <mergeCell ref="B27:C27"/>
    <mergeCell ref="B28:C28"/>
    <mergeCell ref="B29:C29"/>
    <mergeCell ref="B30:C30"/>
    <mergeCell ref="B31:C31"/>
    <mergeCell ref="A32:C32"/>
    <mergeCell ref="A33:C33"/>
    <mergeCell ref="B34:C34"/>
    <mergeCell ref="B35:C35"/>
    <mergeCell ref="B38:C38"/>
    <mergeCell ref="B41:C41"/>
    <mergeCell ref="D41:F41"/>
    <mergeCell ref="B49:C49"/>
    <mergeCell ref="D49:F49"/>
    <mergeCell ref="B42:C42"/>
    <mergeCell ref="D42:F42"/>
    <mergeCell ref="D44:I44"/>
    <mergeCell ref="D45:E45"/>
    <mergeCell ref="F45:I45"/>
    <mergeCell ref="B50:K50"/>
    <mergeCell ref="B51:K51"/>
    <mergeCell ref="B47:C47"/>
    <mergeCell ref="D47:E47"/>
    <mergeCell ref="F47:I47"/>
    <mergeCell ref="B48:C48"/>
    <mergeCell ref="D48:E48"/>
    <mergeCell ref="F48:I48"/>
    <mergeCell ref="J12:J48"/>
    <mergeCell ref="K12:K48"/>
    <mergeCell ref="B46:C46"/>
    <mergeCell ref="D46:E46"/>
    <mergeCell ref="F46:I46"/>
    <mergeCell ref="B37:C37"/>
    <mergeCell ref="B39:C39"/>
    <mergeCell ref="B40:C40"/>
  </mergeCells>
  <pageMargins left="0.25" right="0.25" top="0.5" bottom="0.2" header="0.2" footer="0"/>
  <pageSetup scale="94" orientation="portrait" r:id="rId1"/>
  <headerFooter scaleWithDoc="0">
    <oddHeader>&amp;L&amp;"Arial,Bold"&amp;14SHEET&amp;18 &amp;14&amp;P-1 OF &amp;N-1&amp;R&amp;"Arial,Bold"&amp;14&amp;F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7" r:id="rId4" name="Check Box 5">
              <controlPr defaultSize="0" autoFill="0" autoLine="0" autoPict="0" altText="">
                <anchor moveWithCells="1">
                  <from>
                    <xdr:col>1</xdr:col>
                    <xdr:colOff>937260</xdr:colOff>
                    <xdr:row>33</xdr:row>
                    <xdr:rowOff>0</xdr:rowOff>
                  </from>
                  <to>
                    <xdr:col>1</xdr:col>
                    <xdr:colOff>1135380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8" r:id="rId5" name="Check Box 6">
              <controlPr defaultSize="0" autoFill="0" autoLine="0" autoPict="0" altText="">
                <anchor moveWithCells="1">
                  <from>
                    <xdr:col>2</xdr:col>
                    <xdr:colOff>251460</xdr:colOff>
                    <xdr:row>33</xdr:row>
                    <xdr:rowOff>0</xdr:rowOff>
                  </from>
                  <to>
                    <xdr:col>2</xdr:col>
                    <xdr:colOff>487680</xdr:colOff>
                    <xdr:row>34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79BC-9040-403D-BB7B-CB7E7F017C08}">
  <dimension ref="A1:U23"/>
  <sheetViews>
    <sheetView view="pageLayout" zoomScaleNormal="130" zoomScaleSheetLayoutView="220" workbookViewId="0">
      <selection activeCell="B19" sqref="B19:J19"/>
    </sheetView>
  </sheetViews>
  <sheetFormatPr defaultColWidth="3.109375" defaultRowHeight="14.4" x14ac:dyDescent="0.3"/>
  <cols>
    <col min="1" max="1" width="2" style="31" customWidth="1"/>
    <col min="2" max="2" width="17" style="31" customWidth="1"/>
    <col min="3" max="3" width="6.6640625" style="31" customWidth="1"/>
    <col min="4" max="6" width="10.44140625" style="31" customWidth="1"/>
    <col min="7" max="7" width="3.6640625" style="31" customWidth="1"/>
    <col min="8" max="8" width="16" style="31" customWidth="1"/>
    <col min="9" max="9" width="10.33203125" style="31" customWidth="1"/>
    <col min="10" max="10" width="12.6640625" style="31" customWidth="1"/>
    <col min="11" max="11" width="2" style="31" customWidth="1"/>
    <col min="12" max="16384" width="3.109375" style="31"/>
  </cols>
  <sheetData>
    <row r="1" spans="1:21" ht="15.75" customHeight="1" x14ac:dyDescent="0.3">
      <c r="A1" s="633" t="s">
        <v>0</v>
      </c>
      <c r="B1" s="634"/>
      <c r="C1" s="634"/>
      <c r="D1" s="635"/>
      <c r="E1" s="636" t="s">
        <v>1</v>
      </c>
      <c r="F1" s="637"/>
      <c r="G1" s="637"/>
      <c r="H1" s="638"/>
      <c r="I1" s="210" t="s">
        <v>2</v>
      </c>
      <c r="J1" s="639" t="s">
        <v>3</v>
      </c>
      <c r="K1" s="640"/>
    </row>
    <row r="2" spans="1:21" ht="18" customHeight="1" x14ac:dyDescent="0.3">
      <c r="A2" s="641" t="s">
        <v>75</v>
      </c>
      <c r="B2" s="470"/>
      <c r="C2" s="470"/>
      <c r="D2" s="471"/>
      <c r="E2" s="469" t="s">
        <v>14</v>
      </c>
      <c r="F2" s="470"/>
      <c r="G2" s="470"/>
      <c r="H2" s="471"/>
      <c r="I2" s="211" t="str">
        <f>'Cover Sheet'!D2</f>
        <v>CDC</v>
      </c>
      <c r="J2" s="473">
        <f>'Cover Sheet'!E2</f>
        <v>46097</v>
      </c>
      <c r="K2" s="474" t="e">
        <f>#REF!</f>
        <v>#REF!</v>
      </c>
    </row>
    <row r="3" spans="1:21" ht="9" customHeight="1" x14ac:dyDescent="0.3">
      <c r="A3" s="158"/>
      <c r="B3" s="159"/>
      <c r="C3" s="159"/>
      <c r="D3" s="159"/>
      <c r="E3" s="159"/>
      <c r="F3" s="159"/>
      <c r="G3" s="160"/>
      <c r="H3" s="160"/>
      <c r="I3" s="160"/>
      <c r="J3" s="160"/>
      <c r="K3" s="161"/>
    </row>
    <row r="4" spans="1:21" s="3" customFormat="1" ht="36" customHeight="1" x14ac:dyDescent="0.25">
      <c r="A4" s="212"/>
      <c r="B4" s="163"/>
      <c r="C4" s="163"/>
      <c r="D4" s="163"/>
      <c r="E4" s="163"/>
      <c r="F4" s="163"/>
      <c r="G4" s="213"/>
      <c r="H4" s="214"/>
      <c r="I4" s="215" t="s">
        <v>120</v>
      </c>
      <c r="J4" s="216"/>
      <c r="K4" s="217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s="138" customFormat="1" ht="32.25" customHeight="1" thickBot="1" x14ac:dyDescent="0.35">
      <c r="A5" s="179"/>
      <c r="B5" s="642" t="s">
        <v>121</v>
      </c>
      <c r="C5" s="643"/>
      <c r="D5" s="643"/>
      <c r="E5" s="643"/>
      <c r="F5" s="643"/>
      <c r="G5" s="643"/>
      <c r="H5" s="643"/>
      <c r="I5" s="643"/>
      <c r="J5" s="644"/>
      <c r="K5" s="164"/>
      <c r="L5" s="137"/>
      <c r="M5" s="137"/>
      <c r="N5" s="137"/>
      <c r="O5" s="137"/>
      <c r="P5" s="137"/>
      <c r="Q5" s="137"/>
      <c r="R5" s="137"/>
      <c r="S5" s="137"/>
      <c r="T5" s="137"/>
      <c r="U5" s="137"/>
    </row>
    <row r="6" spans="1:21" s="12" customFormat="1" ht="25.35" customHeight="1" thickTop="1" x14ac:dyDescent="0.3">
      <c r="A6" s="218"/>
      <c r="B6" s="70" t="s">
        <v>18</v>
      </c>
      <c r="C6" s="645" t="s">
        <v>12</v>
      </c>
      <c r="D6" s="645"/>
      <c r="E6" s="645"/>
      <c r="F6" s="645"/>
      <c r="G6" s="645"/>
      <c r="H6" s="645"/>
      <c r="I6" s="645"/>
      <c r="J6" s="646"/>
      <c r="K6" s="219"/>
    </row>
    <row r="7" spans="1:21" s="138" customFormat="1" ht="27.15" customHeight="1" x14ac:dyDescent="0.3">
      <c r="A7" s="179"/>
      <c r="B7" s="71">
        <v>1</v>
      </c>
      <c r="C7" s="632" t="s">
        <v>122</v>
      </c>
      <c r="D7" s="632"/>
      <c r="E7" s="632"/>
      <c r="F7" s="632"/>
      <c r="G7" s="632"/>
      <c r="H7" s="632"/>
      <c r="I7" s="632"/>
      <c r="J7" s="632"/>
      <c r="K7" s="164"/>
      <c r="L7" s="137"/>
      <c r="M7" s="137"/>
      <c r="N7" s="137"/>
      <c r="O7" s="137"/>
      <c r="P7" s="137"/>
      <c r="Q7" s="137"/>
      <c r="R7" s="137"/>
      <c r="S7" s="137"/>
      <c r="T7" s="137"/>
      <c r="U7" s="137"/>
    </row>
    <row r="8" spans="1:21" s="138" customFormat="1" ht="27.15" customHeight="1" x14ac:dyDescent="0.3">
      <c r="A8" s="179"/>
      <c r="B8" s="71">
        <v>2</v>
      </c>
      <c r="C8" s="632" t="s">
        <v>123</v>
      </c>
      <c r="D8" s="632"/>
      <c r="E8" s="632"/>
      <c r="F8" s="632"/>
      <c r="G8" s="632"/>
      <c r="H8" s="632"/>
      <c r="I8" s="632"/>
      <c r="J8" s="632"/>
      <c r="K8" s="164"/>
      <c r="L8" s="137"/>
      <c r="M8" s="137"/>
      <c r="N8" s="137"/>
      <c r="O8" s="137"/>
      <c r="P8" s="137"/>
      <c r="Q8" s="137"/>
      <c r="R8" s="137"/>
      <c r="S8" s="137"/>
      <c r="T8" s="137"/>
      <c r="U8" s="137"/>
    </row>
    <row r="9" spans="1:21" s="138" customFormat="1" ht="27.15" customHeight="1" x14ac:dyDescent="0.3">
      <c r="A9" s="179"/>
      <c r="B9" s="71">
        <v>3</v>
      </c>
      <c r="C9" s="632" t="s">
        <v>124</v>
      </c>
      <c r="D9" s="632"/>
      <c r="E9" s="632"/>
      <c r="F9" s="632"/>
      <c r="G9" s="632"/>
      <c r="H9" s="632"/>
      <c r="I9" s="632"/>
      <c r="J9" s="632"/>
      <c r="K9" s="164"/>
      <c r="L9" s="137"/>
      <c r="M9" s="137"/>
      <c r="N9" s="137"/>
      <c r="O9" s="137"/>
      <c r="P9" s="137"/>
      <c r="Q9" s="137"/>
      <c r="R9" s="137"/>
      <c r="S9" s="137"/>
      <c r="T9" s="137"/>
      <c r="U9" s="137"/>
    </row>
    <row r="10" spans="1:21" s="138" customFormat="1" ht="27.15" customHeight="1" x14ac:dyDescent="0.3">
      <c r="A10" s="179"/>
      <c r="B10" s="71">
        <v>4</v>
      </c>
      <c r="C10" s="632" t="s">
        <v>24</v>
      </c>
      <c r="D10" s="632"/>
      <c r="E10" s="632"/>
      <c r="F10" s="632"/>
      <c r="G10" s="632"/>
      <c r="H10" s="632"/>
      <c r="I10" s="632"/>
      <c r="J10" s="632"/>
      <c r="K10" s="164"/>
      <c r="L10" s="137"/>
      <c r="M10" s="137"/>
      <c r="N10" s="137"/>
      <c r="O10" s="137"/>
      <c r="P10" s="137"/>
      <c r="Q10" s="137"/>
      <c r="R10" s="137"/>
      <c r="S10" s="137"/>
      <c r="T10" s="137"/>
      <c r="U10" s="137"/>
    </row>
    <row r="11" spans="1:21" s="138" customFormat="1" ht="25.35" customHeight="1" x14ac:dyDescent="0.3">
      <c r="A11" s="220"/>
      <c r="B11" s="653"/>
      <c r="C11" s="554"/>
      <c r="D11" s="163"/>
      <c r="E11" s="163"/>
      <c r="F11" s="163"/>
      <c r="G11" s="163"/>
      <c r="H11" s="221" t="s">
        <v>9</v>
      </c>
      <c r="I11" s="221" t="s">
        <v>10</v>
      </c>
      <c r="J11" s="72" t="s">
        <v>3</v>
      </c>
      <c r="K11" s="164"/>
      <c r="L11" s="137"/>
      <c r="M11" s="137"/>
      <c r="N11" s="137"/>
      <c r="O11" s="137"/>
      <c r="P11" s="137"/>
      <c r="Q11" s="137"/>
      <c r="R11" s="137"/>
      <c r="S11" s="137"/>
      <c r="T11" s="137"/>
      <c r="U11" s="137"/>
    </row>
    <row r="12" spans="1:21" s="138" customFormat="1" ht="25.35" customHeight="1" thickBot="1" x14ac:dyDescent="0.35">
      <c r="A12" s="179"/>
      <c r="B12" s="654"/>
      <c r="C12" s="655"/>
      <c r="D12" s="656" t="s">
        <v>125</v>
      </c>
      <c r="E12" s="657"/>
      <c r="F12" s="658"/>
      <c r="G12" s="163"/>
      <c r="H12" s="222"/>
      <c r="I12" s="222"/>
      <c r="J12" s="223"/>
      <c r="K12" s="164"/>
    </row>
    <row r="13" spans="1:21" s="231" customFormat="1" ht="25.35" customHeight="1" thickBot="1" x14ac:dyDescent="0.35">
      <c r="A13" s="224"/>
      <c r="B13" s="659"/>
      <c r="C13" s="660"/>
      <c r="D13" s="661" t="s">
        <v>126</v>
      </c>
      <c r="E13" s="662"/>
      <c r="F13" s="663"/>
      <c r="G13" s="225"/>
      <c r="H13" s="226"/>
      <c r="I13" s="227"/>
      <c r="J13" s="228"/>
      <c r="K13" s="229"/>
      <c r="L13" s="230"/>
      <c r="M13" s="230"/>
      <c r="N13" s="230"/>
      <c r="O13" s="230"/>
      <c r="P13" s="230"/>
      <c r="Q13" s="230"/>
      <c r="R13" s="230"/>
      <c r="S13" s="230"/>
      <c r="T13" s="230"/>
      <c r="U13" s="230"/>
    </row>
    <row r="14" spans="1:21" s="138" customFormat="1" ht="2.25" customHeight="1" x14ac:dyDescent="0.3">
      <c r="A14" s="179"/>
      <c r="B14" s="664"/>
      <c r="C14" s="665"/>
      <c r="D14" s="665"/>
      <c r="E14" s="665"/>
      <c r="F14" s="665"/>
      <c r="G14" s="665"/>
      <c r="H14" s="665"/>
      <c r="I14" s="665"/>
      <c r="J14" s="666"/>
      <c r="K14" s="164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1" s="138" customFormat="1" ht="36" customHeight="1" x14ac:dyDescent="0.3">
      <c r="A15" s="162"/>
      <c r="B15" s="163"/>
      <c r="C15" s="163"/>
      <c r="D15" s="163"/>
      <c r="E15" s="163"/>
      <c r="F15" s="163"/>
      <c r="G15" s="163"/>
      <c r="H15" s="114"/>
      <c r="I15" s="114"/>
      <c r="J15" s="114"/>
      <c r="K15" s="164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1" s="138" customFormat="1" ht="36" customHeight="1" x14ac:dyDescent="0.3">
      <c r="A16" s="162"/>
      <c r="B16" s="163"/>
      <c r="C16" s="163"/>
      <c r="D16" s="163"/>
      <c r="E16" s="163"/>
      <c r="F16" s="163"/>
      <c r="G16" s="163"/>
      <c r="H16" s="114"/>
      <c r="I16" s="114"/>
      <c r="J16" s="114"/>
      <c r="K16" s="164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1:21" s="138" customFormat="1" ht="36" customHeight="1" x14ac:dyDescent="0.3">
      <c r="A17" s="20"/>
      <c r="B17" s="7"/>
      <c r="C17" s="7"/>
      <c r="D17" s="7"/>
      <c r="E17" s="7"/>
      <c r="F17" s="7"/>
      <c r="G17" s="7"/>
      <c r="H17" s="114"/>
      <c r="I17" s="114"/>
      <c r="J17" s="114"/>
      <c r="K17" s="136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1:21" s="5" customFormat="1" ht="27" customHeight="1" x14ac:dyDescent="0.3">
      <c r="A18" s="50"/>
      <c r="B18" s="51" t="s">
        <v>11</v>
      </c>
      <c r="C18" s="152"/>
      <c r="D18" s="152"/>
      <c r="E18" s="152"/>
      <c r="F18" s="152"/>
      <c r="G18" s="152"/>
      <c r="H18" s="7"/>
      <c r="I18" s="7"/>
      <c r="J18" s="7"/>
      <c r="K18" s="49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s="2" customFormat="1" ht="23.85" customHeight="1" x14ac:dyDescent="0.3">
      <c r="A19" s="42"/>
      <c r="B19" s="647"/>
      <c r="C19" s="648"/>
      <c r="D19" s="648"/>
      <c r="E19" s="648"/>
      <c r="F19" s="648"/>
      <c r="G19" s="648"/>
      <c r="H19" s="648"/>
      <c r="I19" s="648"/>
      <c r="J19" s="649"/>
      <c r="K19" s="44"/>
    </row>
    <row r="20" spans="1:21" s="153" customFormat="1" ht="23.85" customHeight="1" x14ac:dyDescent="0.3">
      <c r="A20" s="232"/>
      <c r="B20" s="650"/>
      <c r="C20" s="651"/>
      <c r="D20" s="651"/>
      <c r="E20" s="651"/>
      <c r="F20" s="651"/>
      <c r="G20" s="651"/>
      <c r="H20" s="651"/>
      <c r="I20" s="651"/>
      <c r="J20" s="652"/>
      <c r="K20" s="233"/>
    </row>
    <row r="21" spans="1:21" s="153" customFormat="1" ht="23.85" customHeight="1" x14ac:dyDescent="0.3">
      <c r="A21" s="232"/>
      <c r="B21" s="106"/>
      <c r="C21" s="107"/>
      <c r="D21" s="107"/>
      <c r="E21" s="107"/>
      <c r="F21" s="107"/>
      <c r="G21" s="107"/>
      <c r="H21" s="107"/>
      <c r="I21" s="107"/>
      <c r="J21" s="108"/>
      <c r="K21" s="233"/>
    </row>
    <row r="22" spans="1:21" s="153" customFormat="1" ht="23.85" customHeight="1" x14ac:dyDescent="0.3">
      <c r="A22" s="232"/>
      <c r="B22" s="550"/>
      <c r="C22" s="551"/>
      <c r="D22" s="551"/>
      <c r="E22" s="551"/>
      <c r="F22" s="551"/>
      <c r="G22" s="551"/>
      <c r="H22" s="551"/>
      <c r="I22" s="551"/>
      <c r="J22" s="552"/>
      <c r="K22" s="233"/>
    </row>
    <row r="23" spans="1:21" s="153" customFormat="1" ht="11.4" customHeight="1" x14ac:dyDescent="0.3">
      <c r="A23" s="234"/>
      <c r="B23" s="235"/>
      <c r="C23" s="235"/>
      <c r="D23" s="235"/>
      <c r="E23" s="235"/>
      <c r="F23" s="235"/>
      <c r="G23" s="235"/>
      <c r="H23" s="235"/>
      <c r="I23" s="235"/>
      <c r="J23" s="235"/>
      <c r="K23" s="236"/>
    </row>
  </sheetData>
  <mergeCells count="21">
    <mergeCell ref="B19:J19"/>
    <mergeCell ref="B20:J20"/>
    <mergeCell ref="B22:J22"/>
    <mergeCell ref="B11:C11"/>
    <mergeCell ref="B12:C12"/>
    <mergeCell ref="D12:F12"/>
    <mergeCell ref="B13:C13"/>
    <mergeCell ref="D13:F13"/>
    <mergeCell ref="B14:J14"/>
    <mergeCell ref="C10:J10"/>
    <mergeCell ref="A1:D1"/>
    <mergeCell ref="E1:H1"/>
    <mergeCell ref="J1:K1"/>
    <mergeCell ref="A2:D2"/>
    <mergeCell ref="E2:H2"/>
    <mergeCell ref="J2:K2"/>
    <mergeCell ref="B5:J5"/>
    <mergeCell ref="C6:J6"/>
    <mergeCell ref="C7:J7"/>
    <mergeCell ref="C8:J8"/>
    <mergeCell ref="C9:J9"/>
  </mergeCells>
  <pageMargins left="0.24" right="0.24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2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4215-60CA-4F83-A2CE-EFB3EB789069}">
  <dimension ref="A1:V24"/>
  <sheetViews>
    <sheetView view="pageLayout" workbookViewId="0">
      <selection activeCell="B17" sqref="B17:I17"/>
    </sheetView>
  </sheetViews>
  <sheetFormatPr defaultColWidth="3.109375" defaultRowHeight="14.4" x14ac:dyDescent="0.3"/>
  <cols>
    <col min="1" max="1" width="1.109375" customWidth="1"/>
    <col min="2" max="2" width="17.88671875" customWidth="1"/>
    <col min="3" max="3" width="6.5546875" customWidth="1"/>
    <col min="4" max="6" width="10.44140625" customWidth="1"/>
    <col min="7" max="7" width="3.88671875" customWidth="1"/>
    <col min="8" max="8" width="1" customWidth="1"/>
    <col min="9" max="9" width="16" customWidth="1"/>
    <col min="10" max="10" width="10.88671875" customWidth="1"/>
    <col min="11" max="11" width="12.44140625" customWidth="1"/>
    <col min="12" max="12" width="1.109375" customWidth="1"/>
    <col min="13" max="13" width="9.33203125" customWidth="1"/>
  </cols>
  <sheetData>
    <row r="1" spans="1:22" s="31" customFormat="1" ht="15.75" customHeight="1" x14ac:dyDescent="0.3">
      <c r="A1" s="742" t="s">
        <v>0</v>
      </c>
      <c r="B1" s="637"/>
      <c r="C1" s="637"/>
      <c r="D1" s="638"/>
      <c r="E1" s="636" t="s">
        <v>1</v>
      </c>
      <c r="F1" s="637"/>
      <c r="G1" s="637"/>
      <c r="H1" s="637"/>
      <c r="I1" s="638"/>
      <c r="J1" s="210" t="s">
        <v>2</v>
      </c>
      <c r="K1" s="639" t="s">
        <v>3</v>
      </c>
      <c r="L1" s="640"/>
    </row>
    <row r="2" spans="1:22" s="31" customFormat="1" ht="18" customHeight="1" x14ac:dyDescent="0.3">
      <c r="A2" s="641" t="s">
        <v>128</v>
      </c>
      <c r="B2" s="470"/>
      <c r="C2" s="470"/>
      <c r="D2" s="471"/>
      <c r="E2" s="469" t="s">
        <v>71</v>
      </c>
      <c r="F2" s="470"/>
      <c r="G2" s="470"/>
      <c r="H2" s="470"/>
      <c r="I2" s="471"/>
      <c r="J2" s="211" t="str">
        <f>'Cover Sheet'!D2</f>
        <v>CDC</v>
      </c>
      <c r="K2" s="473">
        <f>'Cover Sheet'!E2</f>
        <v>46097</v>
      </c>
      <c r="L2" s="474" t="e">
        <f>#REF!</f>
        <v>#REF!</v>
      </c>
    </row>
    <row r="3" spans="1:22" s="3" customFormat="1" ht="3.6" customHeight="1" x14ac:dyDescent="0.25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4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s="3" customFormat="1" ht="23.85" customHeight="1" x14ac:dyDescent="0.25">
      <c r="A4" s="162"/>
      <c r="B4" s="744" t="s">
        <v>129</v>
      </c>
      <c r="C4" s="744"/>
      <c r="D4" s="744"/>
      <c r="E4" s="744"/>
      <c r="F4" s="744"/>
      <c r="G4" s="744"/>
      <c r="H4" s="744"/>
      <c r="I4" s="744"/>
      <c r="J4" s="744"/>
      <c r="K4" s="744"/>
      <c r="L4" s="164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s="3" customFormat="1" ht="21" x14ac:dyDescent="0.25">
      <c r="A5" s="162"/>
      <c r="B5" s="745" t="s">
        <v>19</v>
      </c>
      <c r="C5" s="745"/>
      <c r="D5" s="745"/>
      <c r="E5" s="745"/>
      <c r="F5" s="745"/>
      <c r="G5" s="163"/>
      <c r="H5" s="163"/>
      <c r="I5" s="255"/>
      <c r="J5" s="255"/>
      <c r="K5" s="255"/>
      <c r="L5" s="164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s="153" customFormat="1" ht="18" thickBot="1" x14ac:dyDescent="0.35">
      <c r="A6" s="165"/>
      <c r="B6" s="716" t="s">
        <v>12</v>
      </c>
      <c r="C6" s="717"/>
      <c r="D6" s="716" t="s">
        <v>4</v>
      </c>
      <c r="E6" s="718"/>
      <c r="F6" s="717"/>
      <c r="G6" s="746" t="s">
        <v>130</v>
      </c>
      <c r="H6" s="746"/>
      <c r="I6" s="746"/>
      <c r="J6" s="747">
        <v>1500</v>
      </c>
      <c r="K6" s="748"/>
      <c r="L6" s="173"/>
      <c r="M6" s="167"/>
      <c r="N6" s="167"/>
      <c r="O6" s="167"/>
      <c r="P6" s="167"/>
      <c r="Q6" s="167"/>
      <c r="R6" s="167"/>
      <c r="S6" s="167"/>
      <c r="T6" s="167"/>
      <c r="U6" s="167"/>
      <c r="V6" s="167"/>
    </row>
    <row r="7" spans="1:22" s="153" customFormat="1" ht="18" x14ac:dyDescent="0.3">
      <c r="A7" s="171"/>
      <c r="B7" s="504" t="s">
        <v>43</v>
      </c>
      <c r="C7" s="505"/>
      <c r="D7" s="749" t="s">
        <v>131</v>
      </c>
      <c r="E7" s="497"/>
      <c r="F7" s="498"/>
      <c r="G7" s="578"/>
      <c r="H7" s="578"/>
      <c r="I7" s="578"/>
      <c r="J7" s="256"/>
      <c r="K7" s="256"/>
      <c r="L7" s="173"/>
      <c r="M7" s="167"/>
      <c r="N7" s="167"/>
      <c r="O7" s="167"/>
      <c r="P7" s="167"/>
      <c r="Q7" s="167"/>
      <c r="R7" s="167"/>
      <c r="S7" s="167"/>
      <c r="T7" s="167"/>
      <c r="U7" s="167"/>
      <c r="V7" s="167"/>
    </row>
    <row r="8" spans="1:22" s="153" customFormat="1" ht="3.6" customHeight="1" x14ac:dyDescent="0.25">
      <c r="A8" s="171"/>
      <c r="B8" s="257"/>
      <c r="C8" s="257"/>
      <c r="D8" s="258"/>
      <c r="E8" s="259"/>
      <c r="F8" s="259"/>
      <c r="G8" s="257"/>
      <c r="H8" s="257"/>
      <c r="I8" s="257"/>
      <c r="J8" s="260"/>
      <c r="K8" s="260"/>
      <c r="L8" s="173"/>
      <c r="M8" s="167"/>
      <c r="N8" s="167"/>
      <c r="O8" s="167"/>
      <c r="P8" s="167"/>
      <c r="Q8" s="167"/>
      <c r="R8" s="167"/>
      <c r="S8" s="167"/>
      <c r="T8" s="167"/>
      <c r="U8" s="167"/>
      <c r="V8" s="167"/>
    </row>
    <row r="9" spans="1:22" s="31" customFormat="1" ht="17.399999999999999" x14ac:dyDescent="0.3">
      <c r="A9" s="171"/>
      <c r="B9" s="261"/>
      <c r="C9" s="261"/>
      <c r="D9" s="114" t="s">
        <v>6</v>
      </c>
      <c r="E9" s="114" t="s">
        <v>7</v>
      </c>
      <c r="F9" s="114" t="s">
        <v>8</v>
      </c>
      <c r="G9" s="172"/>
      <c r="H9" s="172"/>
      <c r="I9" s="114" t="s">
        <v>9</v>
      </c>
      <c r="J9" s="114" t="s">
        <v>10</v>
      </c>
      <c r="K9" s="114" t="s">
        <v>3</v>
      </c>
      <c r="L9" s="173"/>
    </row>
    <row r="10" spans="1:22" s="138" customFormat="1" ht="18" customHeight="1" thickBot="1" x14ac:dyDescent="0.35">
      <c r="A10" s="220"/>
      <c r="B10" s="425" t="s">
        <v>72</v>
      </c>
      <c r="C10" s="427"/>
      <c r="D10" s="262" t="s">
        <v>97</v>
      </c>
      <c r="E10" s="409">
        <v>100</v>
      </c>
      <c r="F10" s="262" t="s">
        <v>97</v>
      </c>
      <c r="G10" s="177"/>
      <c r="H10" s="177"/>
      <c r="I10" s="263"/>
      <c r="J10" s="743"/>
      <c r="K10" s="743"/>
      <c r="L10" s="164"/>
      <c r="M10" s="137"/>
      <c r="N10" s="137"/>
      <c r="O10" s="137"/>
      <c r="P10" s="137"/>
      <c r="Q10" s="137"/>
      <c r="R10" s="137"/>
      <c r="S10" s="137"/>
      <c r="T10" s="137"/>
      <c r="U10" s="137"/>
      <c r="V10" s="137"/>
    </row>
    <row r="11" spans="1:22" s="138" customFormat="1" ht="18" customHeight="1" thickBot="1" x14ac:dyDescent="0.35">
      <c r="A11" s="113"/>
      <c r="B11" s="425" t="s">
        <v>132</v>
      </c>
      <c r="C11" s="425"/>
      <c r="D11" s="750">
        <v>2</v>
      </c>
      <c r="E11" s="751"/>
      <c r="F11" s="752"/>
      <c r="G11" s="177"/>
      <c r="H11" s="177"/>
      <c r="I11" s="264"/>
      <c r="J11" s="743"/>
      <c r="K11" s="743"/>
      <c r="L11" s="164"/>
      <c r="M11" s="137"/>
      <c r="N11" s="137"/>
      <c r="O11" s="137"/>
      <c r="P11" s="137"/>
      <c r="Q11" s="137"/>
      <c r="R11" s="137"/>
      <c r="S11" s="137"/>
      <c r="T11" s="137"/>
      <c r="U11" s="137"/>
      <c r="V11" s="137"/>
    </row>
    <row r="12" spans="1:22" s="138" customFormat="1" ht="18" customHeight="1" x14ac:dyDescent="0.3">
      <c r="A12" s="179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37"/>
      <c r="N12" s="137"/>
      <c r="O12" s="137"/>
      <c r="P12" s="137"/>
      <c r="Q12" s="137"/>
      <c r="R12" s="137"/>
      <c r="S12" s="137"/>
      <c r="T12" s="137"/>
      <c r="U12" s="137"/>
      <c r="V12" s="137"/>
    </row>
    <row r="13" spans="1:22" s="138" customFormat="1" ht="20.399999999999999" x14ac:dyDescent="0.3">
      <c r="A13" s="179"/>
      <c r="B13" s="762" t="s">
        <v>73</v>
      </c>
      <c r="C13" s="762"/>
      <c r="D13" s="762"/>
      <c r="E13" s="762"/>
      <c r="F13" s="762"/>
      <c r="G13" s="762"/>
      <c r="H13" s="762"/>
      <c r="I13" s="762"/>
      <c r="J13" s="762"/>
      <c r="K13" s="762"/>
      <c r="L13" s="164"/>
      <c r="M13" s="137"/>
      <c r="N13" s="137"/>
      <c r="O13" s="137"/>
      <c r="P13" s="137"/>
      <c r="Q13" s="137"/>
      <c r="R13" s="137"/>
      <c r="S13" s="137"/>
      <c r="T13" s="137"/>
      <c r="U13" s="137"/>
      <c r="V13" s="137"/>
    </row>
    <row r="14" spans="1:22" s="138" customFormat="1" ht="19.5" customHeight="1" x14ac:dyDescent="0.3">
      <c r="A14" s="179"/>
      <c r="B14" s="33" t="s">
        <v>133</v>
      </c>
      <c r="C14" s="763" t="s">
        <v>253</v>
      </c>
      <c r="D14" s="764"/>
      <c r="E14" s="764"/>
      <c r="F14" s="764"/>
      <c r="G14" s="764"/>
      <c r="H14" s="764"/>
      <c r="I14" s="764"/>
      <c r="J14" s="764"/>
      <c r="K14" s="765"/>
      <c r="L14" s="164"/>
      <c r="M14" s="137"/>
      <c r="N14" s="137"/>
      <c r="O14" s="137"/>
      <c r="P14" s="137"/>
      <c r="Q14" s="137"/>
      <c r="R14" s="137"/>
      <c r="S14" s="137"/>
      <c r="T14" s="137"/>
      <c r="U14" s="137"/>
      <c r="V14" s="137"/>
    </row>
    <row r="15" spans="1:22" s="138" customFormat="1" ht="21" x14ac:dyDescent="0.3">
      <c r="A15" s="179"/>
      <c r="B15" s="33" t="s">
        <v>74</v>
      </c>
      <c r="C15" s="766" t="s">
        <v>255</v>
      </c>
      <c r="D15" s="767"/>
      <c r="E15" s="767"/>
      <c r="F15" s="767"/>
      <c r="G15" s="767"/>
      <c r="H15" s="767"/>
      <c r="I15" s="767"/>
      <c r="J15" s="767"/>
      <c r="K15" s="768"/>
      <c r="L15" s="164"/>
      <c r="M15" s="137"/>
      <c r="N15" s="137"/>
      <c r="O15" s="137"/>
      <c r="P15" s="137"/>
      <c r="Q15" s="137"/>
      <c r="R15" s="137"/>
      <c r="S15" s="137"/>
      <c r="T15" s="137"/>
      <c r="U15" s="137"/>
      <c r="V15" s="137"/>
    </row>
    <row r="16" spans="1:22" s="138" customFormat="1" ht="18" customHeight="1" x14ac:dyDescent="0.3">
      <c r="A16" s="179"/>
      <c r="B16" s="687"/>
      <c r="C16" s="687"/>
      <c r="D16" s="687"/>
      <c r="E16" s="687"/>
      <c r="F16" s="687"/>
      <c r="G16" s="687"/>
      <c r="H16" s="687"/>
      <c r="I16" s="687"/>
      <c r="J16" s="687"/>
      <c r="K16" s="687"/>
      <c r="L16" s="164"/>
      <c r="M16" s="137"/>
      <c r="N16" s="137"/>
      <c r="O16" s="137"/>
      <c r="P16" s="137"/>
      <c r="Q16" s="137"/>
      <c r="R16" s="137"/>
      <c r="S16" s="137"/>
      <c r="T16" s="137"/>
      <c r="U16" s="137"/>
      <c r="V16" s="137"/>
    </row>
    <row r="17" spans="1:22" s="138" customFormat="1" ht="18.75" customHeight="1" x14ac:dyDescent="0.35">
      <c r="A17" s="179"/>
      <c r="B17" s="769" t="s">
        <v>134</v>
      </c>
      <c r="C17" s="769"/>
      <c r="D17" s="769"/>
      <c r="E17" s="769"/>
      <c r="F17" s="769"/>
      <c r="G17" s="769"/>
      <c r="H17" s="769"/>
      <c r="I17" s="769"/>
      <c r="J17" s="265" t="s">
        <v>10</v>
      </c>
      <c r="K17" s="265" t="s">
        <v>3</v>
      </c>
      <c r="L17" s="164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spans="1:22" s="138" customFormat="1" ht="36" customHeight="1" thickBot="1" x14ac:dyDescent="0.35">
      <c r="A18" s="179"/>
      <c r="B18" s="770" t="s">
        <v>135</v>
      </c>
      <c r="C18" s="770"/>
      <c r="D18" s="770"/>
      <c r="E18" s="770"/>
      <c r="F18" s="770"/>
      <c r="G18" s="770"/>
      <c r="H18" s="770"/>
      <c r="I18" s="770"/>
      <c r="J18" s="266"/>
      <c r="K18" s="267"/>
      <c r="L18" s="164"/>
      <c r="M18" s="137"/>
      <c r="N18" s="137"/>
      <c r="O18" s="137"/>
      <c r="P18" s="137"/>
      <c r="Q18" s="137"/>
      <c r="R18" s="137"/>
      <c r="S18" s="137"/>
      <c r="T18" s="137"/>
      <c r="U18" s="137"/>
      <c r="V18" s="137"/>
    </row>
    <row r="19" spans="1:22" s="138" customFormat="1" ht="18" customHeight="1" x14ac:dyDescent="0.3">
      <c r="A19" s="179"/>
      <c r="B19" s="268"/>
      <c r="C19" s="269"/>
      <c r="D19" s="269"/>
      <c r="E19" s="269"/>
      <c r="F19" s="269"/>
      <c r="G19" s="269"/>
      <c r="H19" s="270"/>
      <c r="I19" s="271"/>
      <c r="J19" s="271"/>
      <c r="K19" s="272"/>
      <c r="L19" s="164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spans="1:22" s="103" customFormat="1" ht="24.6" customHeight="1" x14ac:dyDescent="0.3">
      <c r="A20" s="273"/>
      <c r="B20" s="95" t="s">
        <v>11</v>
      </c>
      <c r="C20" s="274"/>
      <c r="D20" s="274"/>
      <c r="E20" s="274"/>
      <c r="F20" s="274"/>
      <c r="G20" s="274"/>
      <c r="H20" s="274"/>
      <c r="I20" s="274"/>
      <c r="J20" s="274"/>
      <c r="K20" s="274"/>
      <c r="L20" s="275"/>
    </row>
    <row r="21" spans="1:22" s="1" customFormat="1" ht="23.85" customHeight="1" x14ac:dyDescent="0.3">
      <c r="A21" s="165"/>
      <c r="B21" s="753" t="s">
        <v>136</v>
      </c>
      <c r="C21" s="754"/>
      <c r="D21" s="754"/>
      <c r="E21" s="754"/>
      <c r="F21" s="754"/>
      <c r="G21" s="754"/>
      <c r="H21" s="754"/>
      <c r="I21" s="754"/>
      <c r="J21" s="754"/>
      <c r="K21" s="755"/>
      <c r="L21" s="166"/>
    </row>
    <row r="22" spans="1:22" s="138" customFormat="1" ht="23.25" customHeight="1" x14ac:dyDescent="0.3">
      <c r="A22" s="179"/>
      <c r="B22" s="756"/>
      <c r="C22" s="757"/>
      <c r="D22" s="757"/>
      <c r="E22" s="757"/>
      <c r="F22" s="757"/>
      <c r="G22" s="757"/>
      <c r="H22" s="757"/>
      <c r="I22" s="757"/>
      <c r="J22" s="757"/>
      <c r="K22" s="758"/>
      <c r="L22" s="164"/>
      <c r="M22" s="137"/>
      <c r="N22" s="137"/>
      <c r="O22" s="137"/>
      <c r="P22" s="137"/>
      <c r="Q22" s="137"/>
      <c r="R22" s="137"/>
      <c r="S22" s="137"/>
      <c r="T22" s="137"/>
      <c r="U22" s="137"/>
      <c r="V22" s="137"/>
    </row>
    <row r="23" spans="1:22" s="138" customFormat="1" ht="33.75" customHeight="1" x14ac:dyDescent="0.3">
      <c r="A23" s="179"/>
      <c r="B23" s="759"/>
      <c r="C23" s="760"/>
      <c r="D23" s="760"/>
      <c r="E23" s="760"/>
      <c r="F23" s="760"/>
      <c r="G23" s="760"/>
      <c r="H23" s="760"/>
      <c r="I23" s="760"/>
      <c r="J23" s="760"/>
      <c r="K23" s="761"/>
      <c r="L23" s="164"/>
      <c r="M23" s="137"/>
      <c r="N23" s="137"/>
      <c r="O23" s="137"/>
      <c r="P23" s="137"/>
      <c r="Q23" s="137"/>
      <c r="R23" s="137"/>
      <c r="S23" s="137"/>
      <c r="T23" s="137"/>
      <c r="U23" s="137"/>
      <c r="V23" s="137"/>
    </row>
    <row r="24" spans="1:22" ht="11.4" customHeight="1" x14ac:dyDescent="0.3">
      <c r="A24" s="276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8"/>
    </row>
  </sheetData>
  <mergeCells count="27">
    <mergeCell ref="B21:K23"/>
    <mergeCell ref="B13:K13"/>
    <mergeCell ref="C14:K14"/>
    <mergeCell ref="C15:K15"/>
    <mergeCell ref="B16:K16"/>
    <mergeCell ref="B17:I17"/>
    <mergeCell ref="B18:I18"/>
    <mergeCell ref="K10:K11"/>
    <mergeCell ref="B11:C11"/>
    <mergeCell ref="B4:K4"/>
    <mergeCell ref="B5:F5"/>
    <mergeCell ref="B6:C6"/>
    <mergeCell ref="D6:F6"/>
    <mergeCell ref="G6:I6"/>
    <mergeCell ref="J6:K6"/>
    <mergeCell ref="B7:C7"/>
    <mergeCell ref="D7:F7"/>
    <mergeCell ref="G7:I7"/>
    <mergeCell ref="B10:C10"/>
    <mergeCell ref="J10:J11"/>
    <mergeCell ref="D11:F11"/>
    <mergeCell ref="A1:D1"/>
    <mergeCell ref="E1:I1"/>
    <mergeCell ref="K1:L1"/>
    <mergeCell ref="A2:D2"/>
    <mergeCell ref="E2:I2"/>
    <mergeCell ref="K2:L2"/>
  </mergeCells>
  <pageMargins left="0.21" right="0.21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24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636F-251A-482C-9A49-F69BFA3D5358}">
  <sheetPr>
    <pageSetUpPr fitToPage="1"/>
  </sheetPr>
  <dimension ref="A1:U33"/>
  <sheetViews>
    <sheetView view="pageLayout" workbookViewId="0">
      <selection activeCell="H15" sqref="H15"/>
    </sheetView>
  </sheetViews>
  <sheetFormatPr defaultColWidth="3.109375" defaultRowHeight="14.4" x14ac:dyDescent="0.3"/>
  <cols>
    <col min="1" max="1" width="2" customWidth="1"/>
    <col min="2" max="2" width="16.5546875" customWidth="1"/>
    <col min="3" max="3" width="6.44140625" customWidth="1"/>
    <col min="4" max="5" width="11" customWidth="1"/>
    <col min="6" max="6" width="11.109375" customWidth="1"/>
    <col min="7" max="7" width="3.109375" customWidth="1"/>
    <col min="8" max="8" width="16" customWidth="1"/>
    <col min="9" max="9" width="10.33203125" customWidth="1"/>
    <col min="10" max="10" width="12.5546875" customWidth="1"/>
    <col min="11" max="11" width="2" customWidth="1"/>
    <col min="12" max="12" width="9.33203125" customWidth="1"/>
  </cols>
  <sheetData>
    <row r="1" spans="1:21" s="31" customFormat="1" ht="15.75" customHeight="1" x14ac:dyDescent="0.3">
      <c r="A1" s="785" t="s">
        <v>0</v>
      </c>
      <c r="B1" s="786"/>
      <c r="C1" s="786"/>
      <c r="D1" s="787"/>
      <c r="E1" s="788" t="s">
        <v>1</v>
      </c>
      <c r="F1" s="786"/>
      <c r="G1" s="786"/>
      <c r="H1" s="787"/>
      <c r="I1" s="279" t="s">
        <v>2</v>
      </c>
      <c r="J1" s="789" t="s">
        <v>3</v>
      </c>
      <c r="K1" s="790"/>
    </row>
    <row r="2" spans="1:21" s="31" customFormat="1" ht="18" customHeight="1" x14ac:dyDescent="0.3">
      <c r="A2" s="711" t="s">
        <v>17</v>
      </c>
      <c r="B2" s="543"/>
      <c r="C2" s="543"/>
      <c r="D2" s="544"/>
      <c r="E2" s="712" t="s">
        <v>13</v>
      </c>
      <c r="F2" s="713"/>
      <c r="G2" s="713"/>
      <c r="H2" s="714"/>
      <c r="I2" s="61" t="str">
        <f>'Cover Sheet'!D2</f>
        <v>CDC</v>
      </c>
      <c r="J2" s="548">
        <f>'Cover Sheet'!E2</f>
        <v>46097</v>
      </c>
      <c r="K2" s="549" t="str">
        <f>'[2]Cover Sheet'!$F$2</f>
        <v>SDB</v>
      </c>
    </row>
    <row r="3" spans="1:21" s="3" customFormat="1" ht="18" customHeight="1" x14ac:dyDescent="0.3">
      <c r="A3" s="309"/>
      <c r="B3" s="310"/>
      <c r="C3" s="310"/>
      <c r="D3" s="310"/>
      <c r="E3" s="310"/>
      <c r="F3" s="310"/>
      <c r="G3" s="310"/>
      <c r="H3" s="779" t="s">
        <v>174</v>
      </c>
      <c r="I3" s="779"/>
      <c r="J3" s="779"/>
      <c r="K3" s="311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s="313" customFormat="1" ht="18" customHeight="1" x14ac:dyDescent="0.3">
      <c r="A4" s="20"/>
      <c r="B4" s="780" t="s">
        <v>137</v>
      </c>
      <c r="C4" s="780"/>
      <c r="D4" s="780"/>
      <c r="E4" s="780"/>
      <c r="F4" s="780"/>
      <c r="G4" s="781" t="s">
        <v>5</v>
      </c>
      <c r="H4" s="782"/>
      <c r="I4" s="459"/>
      <c r="J4" s="460"/>
      <c r="K4" s="21"/>
      <c r="L4" s="312"/>
      <c r="M4" s="312"/>
      <c r="N4" s="312"/>
      <c r="O4" s="312"/>
      <c r="P4" s="312"/>
      <c r="Q4" s="312"/>
      <c r="R4" s="312"/>
      <c r="S4" s="312"/>
      <c r="T4" s="312"/>
      <c r="U4" s="312"/>
    </row>
    <row r="5" spans="1:21" s="5" customFormat="1" ht="18" customHeight="1" thickBot="1" x14ac:dyDescent="0.35">
      <c r="A5" s="20"/>
      <c r="B5" s="780"/>
      <c r="C5" s="780"/>
      <c r="D5" s="780"/>
      <c r="E5" s="780"/>
      <c r="F5" s="780"/>
      <c r="G5" s="781"/>
      <c r="H5" s="782"/>
      <c r="I5" s="783"/>
      <c r="J5" s="784"/>
      <c r="K5" s="21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s="9" customFormat="1" ht="18" customHeight="1" x14ac:dyDescent="0.3">
      <c r="A6" s="76"/>
      <c r="B6" s="771" t="s">
        <v>138</v>
      </c>
      <c r="C6" s="771"/>
      <c r="D6" s="771"/>
      <c r="E6" s="771"/>
      <c r="F6" s="771"/>
      <c r="G6" s="7"/>
      <c r="I6" s="280"/>
      <c r="K6" s="77"/>
    </row>
    <row r="7" spans="1:21" s="5" customFormat="1" ht="18" customHeight="1" x14ac:dyDescent="0.3">
      <c r="A7" s="20"/>
      <c r="B7" s="771"/>
      <c r="C7" s="771"/>
      <c r="D7" s="771"/>
      <c r="E7" s="771"/>
      <c r="F7" s="771"/>
      <c r="G7" s="7"/>
      <c r="H7" s="221" t="s">
        <v>10</v>
      </c>
      <c r="I7" s="772" t="s">
        <v>3</v>
      </c>
      <c r="J7" s="772"/>
      <c r="K7" s="21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s="31" customFormat="1" ht="18" customHeight="1" x14ac:dyDescent="0.3">
      <c r="A8" s="45"/>
      <c r="B8" s="771"/>
      <c r="C8" s="771"/>
      <c r="D8" s="771"/>
      <c r="E8" s="771"/>
      <c r="F8" s="771"/>
      <c r="G8" s="7"/>
      <c r="H8" s="566"/>
      <c r="I8" s="534"/>
      <c r="J8" s="535"/>
      <c r="K8" s="47"/>
    </row>
    <row r="9" spans="1:21" s="31" customFormat="1" ht="18" customHeight="1" thickBot="1" x14ac:dyDescent="0.35">
      <c r="A9" s="45"/>
      <c r="B9" s="771"/>
      <c r="C9" s="771"/>
      <c r="D9" s="771"/>
      <c r="E9" s="771"/>
      <c r="F9" s="771"/>
      <c r="G9" s="7"/>
      <c r="H9" s="567"/>
      <c r="I9" s="536"/>
      <c r="J9" s="537"/>
      <c r="K9" s="47"/>
    </row>
    <row r="10" spans="1:21" s="31" customFormat="1" ht="18" customHeight="1" x14ac:dyDescent="0.3">
      <c r="A10" s="45"/>
      <c r="B10" s="771"/>
      <c r="C10" s="771"/>
      <c r="D10" s="771"/>
      <c r="E10" s="771"/>
      <c r="F10" s="771"/>
      <c r="G10" s="7"/>
      <c r="H10" s="7"/>
      <c r="I10" s="7"/>
      <c r="J10" s="7"/>
      <c r="K10" s="47"/>
    </row>
    <row r="11" spans="1:21" s="31" customFormat="1" ht="18" customHeight="1" x14ac:dyDescent="0.3">
      <c r="A11" s="45"/>
      <c r="B11" s="281"/>
      <c r="C11" s="281"/>
      <c r="D11" s="281"/>
      <c r="E11" s="281"/>
      <c r="F11" s="281"/>
      <c r="G11" s="109"/>
      <c r="H11" s="7"/>
      <c r="I11" s="7"/>
      <c r="J11" s="7"/>
      <c r="K11" s="47"/>
    </row>
    <row r="12" spans="1:21" s="31" customFormat="1" ht="18" customHeight="1" x14ac:dyDescent="0.3">
      <c r="A12" s="45"/>
      <c r="B12" s="109"/>
      <c r="C12" s="109"/>
      <c r="D12" s="109"/>
      <c r="E12" s="109"/>
      <c r="F12" s="109"/>
      <c r="G12" s="109"/>
      <c r="H12" s="109"/>
      <c r="I12" s="109"/>
      <c r="J12" s="109"/>
      <c r="K12" s="47"/>
    </row>
    <row r="13" spans="1:21" s="31" customFormat="1" ht="18" customHeight="1" x14ac:dyDescent="0.3">
      <c r="A13" s="45"/>
      <c r="B13" s="771" t="s">
        <v>139</v>
      </c>
      <c r="C13" s="771"/>
      <c r="D13" s="771"/>
      <c r="E13" s="771"/>
      <c r="F13" s="771"/>
      <c r="G13" s="109"/>
      <c r="H13" s="221" t="s">
        <v>10</v>
      </c>
      <c r="I13" s="772" t="s">
        <v>3</v>
      </c>
      <c r="J13" s="772"/>
      <c r="K13" s="47"/>
    </row>
    <row r="14" spans="1:21" s="31" customFormat="1" ht="18" customHeight="1" x14ac:dyDescent="0.3">
      <c r="A14" s="45"/>
      <c r="B14" s="771"/>
      <c r="C14" s="771"/>
      <c r="D14" s="771"/>
      <c r="E14" s="771"/>
      <c r="F14" s="771"/>
      <c r="G14" s="109"/>
      <c r="H14" s="282"/>
      <c r="I14" s="534"/>
      <c r="J14" s="535"/>
      <c r="K14" s="47"/>
    </row>
    <row r="15" spans="1:21" s="2" customFormat="1" ht="18" customHeight="1" thickBot="1" x14ac:dyDescent="0.35">
      <c r="A15" s="20"/>
      <c r="B15" s="771"/>
      <c r="C15" s="771"/>
      <c r="D15" s="771"/>
      <c r="E15" s="771"/>
      <c r="F15" s="771"/>
      <c r="G15" s="109"/>
      <c r="H15" s="142"/>
      <c r="I15" s="536"/>
      <c r="J15" s="537"/>
      <c r="K15" s="21"/>
    </row>
    <row r="16" spans="1:21" s="2" customFormat="1" ht="18" customHeight="1" x14ac:dyDescent="0.3">
      <c r="A16" s="20"/>
      <c r="B16" s="771"/>
      <c r="C16" s="771"/>
      <c r="D16" s="771"/>
      <c r="E16" s="771"/>
      <c r="F16" s="771"/>
      <c r="G16" s="283"/>
      <c r="H16" s="283"/>
      <c r="I16" s="283"/>
      <c r="J16" s="283"/>
      <c r="K16" s="21"/>
    </row>
    <row r="17" spans="1:21" s="2" customFormat="1" ht="18" customHeight="1" x14ac:dyDescent="0.3">
      <c r="A17" s="20"/>
      <c r="B17" s="283"/>
      <c r="C17" s="283"/>
      <c r="D17" s="283"/>
      <c r="E17" s="283"/>
      <c r="F17" s="283"/>
      <c r="G17" s="283"/>
      <c r="H17" s="283"/>
      <c r="I17" s="283"/>
      <c r="J17" s="283"/>
      <c r="K17" s="21"/>
    </row>
    <row r="18" spans="1:21" s="2" customFormat="1" ht="18" customHeight="1" x14ac:dyDescent="0.3">
      <c r="A18" s="20"/>
      <c r="B18" s="283"/>
      <c r="C18" s="283"/>
      <c r="D18" s="283"/>
      <c r="E18" s="283"/>
      <c r="F18" s="283"/>
      <c r="G18" s="283"/>
      <c r="H18" s="283"/>
      <c r="I18" s="283"/>
      <c r="J18" s="283"/>
      <c r="K18" s="21"/>
    </row>
    <row r="19" spans="1:21" s="2" customFormat="1" ht="18" customHeight="1" x14ac:dyDescent="0.3">
      <c r="A19" s="20"/>
      <c r="B19" s="283"/>
      <c r="C19" s="283"/>
      <c r="D19" s="283"/>
      <c r="E19" s="283"/>
      <c r="F19" s="283"/>
      <c r="G19" s="7"/>
      <c r="H19" s="7"/>
      <c r="I19" s="7"/>
      <c r="J19" s="7"/>
      <c r="K19" s="21"/>
    </row>
    <row r="20" spans="1:21" s="2" customFormat="1" ht="18" customHeight="1" x14ac:dyDescent="0.3">
      <c r="A20" s="20"/>
      <c r="B20" s="283"/>
      <c r="C20" s="283"/>
      <c r="D20" s="283"/>
      <c r="E20" s="283"/>
      <c r="F20" s="283"/>
      <c r="G20" s="7"/>
      <c r="H20" s="283"/>
      <c r="I20" s="283"/>
      <c r="J20" s="283"/>
      <c r="K20" s="21"/>
    </row>
    <row r="21" spans="1:21" s="11" customFormat="1" ht="18" customHeight="1" x14ac:dyDescent="0.3">
      <c r="A21" s="78"/>
      <c r="B21" s="284"/>
      <c r="C21" s="284"/>
      <c r="D21" s="284"/>
      <c r="E21" s="284"/>
      <c r="F21" s="284"/>
      <c r="G21" s="284"/>
      <c r="H21" s="284"/>
      <c r="I21" s="284"/>
      <c r="J21" s="284"/>
      <c r="K21" s="79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s="11" customFormat="1" ht="18" customHeight="1" x14ac:dyDescent="0.3">
      <c r="A22" s="78"/>
      <c r="B22" s="284"/>
      <c r="C22" s="284"/>
      <c r="D22" s="284"/>
      <c r="E22" s="284"/>
      <c r="F22" s="284"/>
      <c r="G22" s="284"/>
      <c r="H22" s="284"/>
      <c r="I22" s="284"/>
      <c r="J22" s="284"/>
      <c r="K22" s="79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s="11" customFormat="1" ht="18" customHeight="1" x14ac:dyDescent="0.3">
      <c r="A23" s="78"/>
      <c r="B23" s="284"/>
      <c r="C23" s="284"/>
      <c r="D23" s="284"/>
      <c r="E23" s="284"/>
      <c r="F23" s="284"/>
      <c r="G23" s="284"/>
      <c r="H23" s="284"/>
      <c r="I23" s="284"/>
      <c r="J23" s="284"/>
      <c r="K23" s="79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s="11" customFormat="1" ht="18" customHeight="1" x14ac:dyDescent="0.3">
      <c r="A24" s="78"/>
      <c r="B24" s="284"/>
      <c r="C24" s="284"/>
      <c r="D24" s="284"/>
      <c r="E24" s="284"/>
      <c r="F24" s="284"/>
      <c r="G24" s="284"/>
      <c r="H24" s="284"/>
      <c r="I24" s="284"/>
      <c r="J24" s="284"/>
      <c r="K24" s="79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s="5" customFormat="1" ht="18" customHeight="1" x14ac:dyDescent="0.3">
      <c r="A25" s="20"/>
      <c r="B25" s="63"/>
      <c r="C25" s="63"/>
      <c r="D25" s="63"/>
      <c r="E25" s="63"/>
      <c r="F25" s="63"/>
      <c r="G25" s="63"/>
      <c r="H25" s="63"/>
      <c r="I25" s="63"/>
      <c r="J25" s="63"/>
      <c r="K25" s="21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s="5" customFormat="1" ht="18" customHeight="1" x14ac:dyDescent="0.3">
      <c r="A26" s="20"/>
      <c r="B26" s="63"/>
      <c r="C26" s="63"/>
      <c r="D26" s="63"/>
      <c r="E26" s="63"/>
      <c r="F26" s="63"/>
      <c r="G26" s="63"/>
      <c r="H26" s="63"/>
      <c r="I26" s="63"/>
      <c r="J26" s="63"/>
      <c r="K26" s="21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s="5" customFormat="1" ht="18" customHeight="1" x14ac:dyDescent="0.3">
      <c r="A27" s="20"/>
      <c r="B27" s="63"/>
      <c r="C27" s="63"/>
      <c r="D27" s="63"/>
      <c r="E27" s="63"/>
      <c r="F27" s="63"/>
      <c r="G27" s="63"/>
      <c r="H27" s="63"/>
      <c r="I27" s="63"/>
      <c r="J27" s="63"/>
      <c r="K27" s="21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s="5" customFormat="1" ht="18" customHeight="1" x14ac:dyDescent="0.3">
      <c r="A28" s="20"/>
      <c r="B28" s="63"/>
      <c r="C28" s="63"/>
      <c r="D28" s="63"/>
      <c r="E28" s="63"/>
      <c r="F28" s="63"/>
      <c r="G28" s="63"/>
      <c r="H28" s="63"/>
      <c r="I28" s="63"/>
      <c r="J28" s="63"/>
      <c r="K28" s="21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s="5" customFormat="1" ht="18" customHeight="1" x14ac:dyDescent="0.3">
      <c r="A29" s="20"/>
      <c r="B29" s="63"/>
      <c r="C29" s="63"/>
      <c r="D29" s="63"/>
      <c r="E29" s="63"/>
      <c r="F29" s="63"/>
      <c r="G29" s="63"/>
      <c r="H29" s="63"/>
      <c r="I29" s="63"/>
      <c r="J29" s="63"/>
      <c r="K29" s="21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s="1" customFormat="1" ht="27" customHeight="1" x14ac:dyDescent="0.3">
      <c r="A30" s="54"/>
      <c r="B30" s="285" t="s">
        <v>11</v>
      </c>
      <c r="C30" s="40"/>
      <c r="D30" s="40"/>
      <c r="E30" s="40"/>
      <c r="G30" s="40"/>
      <c r="H30" s="40"/>
      <c r="I30" s="40"/>
      <c r="J30" s="40"/>
      <c r="K30" s="55"/>
    </row>
    <row r="31" spans="1:21" s="1" customFormat="1" ht="21.6" customHeight="1" x14ac:dyDescent="0.3">
      <c r="A31" s="54"/>
      <c r="B31" s="773"/>
      <c r="C31" s="774"/>
      <c r="D31" s="774"/>
      <c r="E31" s="774"/>
      <c r="F31" s="774"/>
      <c r="G31" s="774"/>
      <c r="H31" s="774"/>
      <c r="I31" s="774"/>
      <c r="J31" s="775"/>
      <c r="K31" s="55"/>
    </row>
    <row r="32" spans="1:21" s="317" customFormat="1" ht="32.25" customHeight="1" x14ac:dyDescent="0.3">
      <c r="A32" s="314"/>
      <c r="B32" s="776"/>
      <c r="C32" s="777"/>
      <c r="D32" s="777"/>
      <c r="E32" s="777"/>
      <c r="F32" s="777"/>
      <c r="G32" s="777"/>
      <c r="H32" s="777"/>
      <c r="I32" s="777"/>
      <c r="J32" s="778"/>
      <c r="K32" s="315"/>
      <c r="L32" s="316"/>
      <c r="M32" s="316"/>
      <c r="N32" s="316"/>
      <c r="O32" s="316"/>
      <c r="P32" s="316"/>
      <c r="Q32" s="316"/>
      <c r="R32" s="316"/>
      <c r="S32" s="316"/>
      <c r="T32" s="316"/>
      <c r="U32" s="316"/>
    </row>
    <row r="33" spans="1:11" ht="11.4" customHeight="1" x14ac:dyDescent="0.3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60"/>
    </row>
  </sheetData>
  <mergeCells count="19">
    <mergeCell ref="A1:D1"/>
    <mergeCell ref="E1:H1"/>
    <mergeCell ref="J1:K1"/>
    <mergeCell ref="A2:D2"/>
    <mergeCell ref="E2:H2"/>
    <mergeCell ref="J2:K2"/>
    <mergeCell ref="H3:J3"/>
    <mergeCell ref="B4:F5"/>
    <mergeCell ref="G4:H5"/>
    <mergeCell ref="I4:J5"/>
    <mergeCell ref="B6:F10"/>
    <mergeCell ref="I7:J7"/>
    <mergeCell ref="H8:H9"/>
    <mergeCell ref="I8:J9"/>
    <mergeCell ref="B13:F16"/>
    <mergeCell ref="I13:J13"/>
    <mergeCell ref="I14:J15"/>
    <mergeCell ref="B31:J31"/>
    <mergeCell ref="B32:J32"/>
  </mergeCells>
  <pageMargins left="0.24" right="0.24" top="0.55000000000000004" bottom="0.3" header="0.2" footer="0"/>
  <pageSetup fitToHeight="0" orientation="portrait" r:id="rId1"/>
  <headerFooter scaleWithDoc="0">
    <oddHeader>&amp;L&amp;"Arial,Bold"&amp;18SHEET &amp;P-1 OF &amp;N-1&amp;R&amp;"Arial,Bold"&amp;18&amp;F</oddHeader>
  </headerFooter>
  <rowBreaks count="1" manualBreakCount="1">
    <brk id="3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8A0881894C74A85070D284322125B" ma:contentTypeVersion="2" ma:contentTypeDescription="Create a new document." ma:contentTypeScope="" ma:versionID="a9bbaecced401795be14bd2c89fc5255">
  <xsd:schema xmlns:xsd="http://www.w3.org/2001/XMLSchema" xmlns:xs="http://www.w3.org/2001/XMLSchema" xmlns:p="http://schemas.microsoft.com/office/2006/metadata/properties" xmlns:ns2="22c79e73-3d4d-4b9d-9cbb-b297f0bc9d7f" targetNamespace="http://schemas.microsoft.com/office/2006/metadata/properties" ma:root="true" ma:fieldsID="e5929d846d40a60fb18b42cdb21e7204" ns2:_="">
    <xsd:import namespace="22c79e73-3d4d-4b9d-9cbb-b297f0bc9d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79e73-3d4d-4b9d-9cbb-b297f0bc9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E50B2-2D34-483D-AD67-B0B90E3F14C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2c79e73-3d4d-4b9d-9cbb-b297f0bc9d7f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7FE04F5-7005-4ECB-8871-5C79B7BCF2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74CB4-9A14-431F-A48A-4180CB67C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79e73-3d4d-4b9d-9cbb-b297f0bc9d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Taping (3-Bay)</vt:lpstr>
      <vt:lpstr>Taping (3-Bay) (2)</vt:lpstr>
      <vt:lpstr>Tape Conditioning</vt:lpstr>
      <vt:lpstr>Spiral Shield</vt:lpstr>
      <vt:lpstr>SI Testing (Post-Spiral)</vt:lpstr>
      <vt:lpstr>Braiding</vt:lpstr>
      <vt:lpstr>SI Testing (Post-Braid)</vt:lpstr>
      <vt:lpstr>Mixing</vt:lpstr>
      <vt:lpstr>Extrusion (Graham)</vt:lpstr>
      <vt:lpstr>SI Testing (Post-Jacket)</vt:lpstr>
      <vt:lpstr>Respooling-Marking RF</vt:lpstr>
      <vt:lpstr>Packaging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edwinho@glenair.com</dc:creator>
  <cp:keywords/>
  <dc:description/>
  <cp:lastModifiedBy>Chad Corapi</cp:lastModifiedBy>
  <cp:revision/>
  <cp:lastPrinted>2026-03-16T18:41:28Z</cp:lastPrinted>
  <dcterms:created xsi:type="dcterms:W3CDTF">2022-05-04T14:11:32Z</dcterms:created>
  <dcterms:modified xsi:type="dcterms:W3CDTF">2026-03-16T18:43:15Z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0x0101004DF8A0881894C74A85070D284322125B</vt:lpwstr>
  </property>
</Properties>
</file>